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e086fae54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51b62207b2e4e00"/>
    <x:sheet xmlns:r="http://schemas.openxmlformats.org/officeDocument/2006/relationships" name="月度数据" sheetId="2" r:id="R6a123110a83d47d2"/>
    <x:sheet xmlns:r="http://schemas.openxmlformats.org/officeDocument/2006/relationships" name="年度进口额" sheetId="3" r:id="Rac62f6cb98db4098"/>
    <x:sheet xmlns:r="http://schemas.openxmlformats.org/officeDocument/2006/relationships" name="铁矿石年度量" sheetId="4" r:id="R977505c20bb040f4"/>
    <x:sheet xmlns:r="http://schemas.openxmlformats.org/officeDocument/2006/relationships" name="原始月度" sheetId="5" r:id="Ra03ee0482cf14b39"/>
    <x:sheet xmlns:r="http://schemas.openxmlformats.org/officeDocument/2006/relationships" name="来源链接" sheetId="6" r:id="Rd0acf7bef018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.00;[Red](#,##0.00);0.00"/>
    <x:numFmt numFmtId="202" formatCode="yyyy-mm-dd"/>
  </x:numFmts>
  <x:fonts count="10">
    <x:font>
      <x:sz val="11"/>
      <x:name val="Carlito"/>
    </x:font>
    <x:font>
      <x:sz val="10"/>
      <x:color rgb="FF233B47"/>
      <x:name val="Noto Sans CJK SC"/>
    </x:font>
    <x:font>
      <x:b/>
      <x:sz val="10"/>
      <x:color rgb="FFFFFFFF"/>
      <x:name val="Noto Sans CJK SC"/>
    </x:font>
    <x:font>
      <x:sz val="9"/>
      <x:color rgb="FF0067B1"/>
      <x:name val="Noto Sans CJK SC"/>
    </x:font>
    <x:font>
      <x:sz val="11"/>
      <x:color rgb="FF233B47"/>
      <x:name val="Noto Sans CJK SC"/>
    </x:font>
    <x:font>
      <x:b/>
      <x:sz val="20"/>
      <x:color rgb="FFFFFFFF"/>
      <x:name val="Noto Sans CJK SC"/>
    </x:font>
    <x:font>
      <x:sz val="11"/>
      <x:color rgb="FF607581"/>
      <x:name val="Noto Sans CJK SC"/>
    </x:font>
    <x:font>
      <x:b/>
      <x:sz val="11"/>
      <x:color rgb="FFFFFFFF"/>
      <x:name val="Noto Sans CJK SC"/>
    </x:font>
    <x:font>
      <x:b/>
      <x:sz val="11"/>
      <x:color rgb="FF006D77"/>
      <x:name val="Noto Sans CJK SC"/>
    </x:font>
    <x:font>
      <x:sz val="10"/>
      <x:color rgb="FF607581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F1F6F7"/>
      </x:patternFill>
    </x:fill>
    <x:fill>
      <x:patternFill patternType="solid">
        <x:fgColor rgb="FFFFF2D8"/>
      </x:patternFill>
    </x:fill>
    <x:fill>
      <x:patternFill patternType="solid">
        <x:fgColor rgb="FF006D77"/>
      </x:patternFill>
    </x:fill>
    <x:fill>
      <x:patternFill patternType="solid">
        <x:fgColor rgb="FFEA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63597839b4652" /><Relationship Type="http://schemas.openxmlformats.org/officeDocument/2006/relationships/theme" Target="/xl/theme/theme1.xml" Id="R5cac343f13704fd5" /><Relationship Type="http://schemas.openxmlformats.org/officeDocument/2006/relationships/sharedStrings" Target="/xl/sharedStrings.xml" Id="Rf7be7c9b88ed4eba" /><Relationship Type="http://schemas.openxmlformats.org/officeDocument/2006/relationships/worksheet" Target="/xl/worksheets/sheet1.xml" Id="R851b62207b2e4e00" /><Relationship Type="http://schemas.openxmlformats.org/officeDocument/2006/relationships/worksheet" Target="/xl/worksheets/sheet2.xml" Id="R6a123110a83d47d2" /><Relationship Type="http://schemas.openxmlformats.org/officeDocument/2006/relationships/worksheet" Target="/xl/worksheets/sheet3.xml" Id="Rac62f6cb98db4098" /><Relationship Type="http://schemas.openxmlformats.org/officeDocument/2006/relationships/worksheet" Target="/xl/worksheets/sheet4.xml" Id="R977505c20bb040f4" /><Relationship Type="http://schemas.openxmlformats.org/officeDocument/2006/relationships/worksheet" Target="/xl/worksheets/sheet5.xml" Id="Ra03ee0482cf14b39" /><Relationship Type="http://schemas.openxmlformats.org/officeDocument/2006/relationships/worksheet" Target="/xl/worksheets/sheet6.xml" Id="Rd0acf7bef0184371" /></Relationships>
</file>

<file path=xl/tables/table1.xml><?xml version="1.0" encoding="utf-8"?>
<x:table xmlns:x="http://schemas.openxmlformats.org/spreadsheetml/2006/main" id="2" name="TradeTable_1" displayName="TradeTable_1" ref="A1:I307" headerRowCount="1" totalsRowCount="0" totalsRowShown="0">
  <x:tableColumns count="9">
    <x:tableColumn id="1" name="月份"/>
    <x:tableColumn id="2" name="食品整体进口额&#10;美元"/>
    <x:tableColumn id="3" name="燃油进口额&#10;美元"/>
    <x:tableColumn id="4" name="矿物燃料及润滑油进口额&#10;美元"/>
    <x:tableColumn id="5" name="铁矿石出口额（补充）&#10;美元"/>
    <x:tableColumn id="6" name="铁矿石出口量&#10;公吨（干湿未注明）"/>
    <x:tableColumn id="7" name="燃油数据标记"/>
    <x:tableColumn id="8" name="铁矿石出口额标记"/>
    <x:tableColumn id="9" name="铁矿石出口量标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radeTable_2" displayName="TradeTable_2" ref="A1:J27" headerRowCount="1" totalsRowCount="0" totalsRowShown="0">
  <x:tableColumns count="10">
    <x:tableColumn id="1" name="年份"/>
    <x:tableColumn id="2" name="期间开始"/>
    <x:tableColumn id="3" name="期间结束"/>
    <x:tableColumn id="4" name="食品覆盖月数"/>
    <x:tableColumn id="5" name="食品整体进口额&#10;美元"/>
    <x:tableColumn id="6" name="燃油进口额&#10;美元"/>
    <x:tableColumn id="7" name="矿物燃料及润滑油进口额&#10;美元"/>
    <x:tableColumn id="8" name="燃油可用月数"/>
    <x:tableColumn id="9" name="期间口径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radeTable_3" displayName="TradeTable_3" ref="A1:J9" headerRowCount="1" totalsRowCount="0" totalsRowShown="0">
  <x:tableColumns count="10">
    <x:tableColumn id="1" name="年份"/>
    <x:tableColumn id="2" name="期间开始"/>
    <x:tableColumn id="3" name="期间结束"/>
    <x:tableColumn id="4" name="铁矿石出口量&#10;原报数量"/>
    <x:tableColumn id="5" name="原报单位"/>
    <x:tableColumn id="6" name="单位说明"/>
    <x:tableColumn id="7" name="覆盖范围"/>
    <x:tableColumn id="8" name="来源ID"/>
    <x:tableColumn id="9" name="原文位置"/>
    <x:tableColumn id="10" name="数据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TradeTable_4" displayName="TradeTable_4" ref="A1:H307" headerRowCount="1" totalsRowCount="0" totalsRowShown="0">
  <x:tableColumns count="8">
    <x:tableColumn id="1" name="月份"/>
    <x:tableColumn id="2" name="原报月份标签"/>
    <x:tableColumn id="3" name="食品进口额&#10;千美元／S01"/>
    <x:tableColumn id="4" name="燃油进口额&#10;千美元／S02"/>
    <x:tableColumn id="5" name="矿物燃料及润滑油进口额&#10;千美元／S03"/>
    <x:tableColumn id="6" name="铁矿石出口额&#10;千美元／S04"/>
    <x:tableColumn id="7" name="铁矿石出口量&#10;M. Tons／S05"/>
    <x:tableColumn id="8" name="S05原表单元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deTable_5" displayName="TradeTable_5" ref="A1:H15" headerRowCount="1" totalsRowCount="0" totalsRowShown="0">
  <x:tableColumns count="8">
    <x:tableColumn id="1" name="来源ID"/>
    <x:tableColumn id="2" name="数据项目"/>
    <x:tableColumn id="3" name="发布机构／原提供方"/>
    <x:tableColumn id="4" name="系列代码／文件定位"/>
    <x:tableColumn id="5" name="原始单位及频率"/>
    <x:tableColumn id="6" name="直接来源链接"/>
    <x:tableColumn id="7" name="取值位置或范围"/>
    <x:tableColumn id="8" name="获取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9ecdcb6402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03684672ac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67f6b7f734b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52a523e08c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093f001acc4c52" /></Relationships>
</file>

<file path=xl/worksheets/sheet1.xml><?xml version="1.0" encoding="utf-8"?>
<x:worksheet xmlns:x="http://schemas.openxmlformats.org/spreadsheetml/2006/main">
  <x:sheetPr>
    <x:tabColor rgb="FF163A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5" hidden="0" customWidth="1"/>
    <x:col min="4" max="4" width="24" hidden="0" customWidth="1"/>
    <x:col min="5" max="5" width="25" hidden="0" customWidth="1"/>
    <x:col min="6" max="6" width="38" hidden="0" customWidth="1"/>
  </x:cols>
  <x:sheetData>
    <x:row r="1" ht="28" customHeight="1">
      <x:c r="A1" s="24" t="str">
        <x:v>塞拉利昂贸易数据｜食品、燃油与铁矿石</x:v>
      </x:c>
      <x:c r="B1" s="24"/>
      <x:c r="C1" s="24"/>
      <x:c r="D1" s="24"/>
      <x:c r="E1" s="24"/>
      <x:c r="F1" s="24"/>
    </x:row>
    <x:row r="2" ht="28" customHeight="1">
      <x:c r="A2" s="24"/>
      <x:c r="B2" s="24"/>
      <x:c r="C2" s="24"/>
      <x:c r="D2" s="24"/>
      <x:c r="E2" s="24"/>
      <x:c r="F2" s="24"/>
    </x:row>
    <x:row r="3" ht="28" customHeight="1">
      <x:c r="A3" s="25" t="str">
        <x:v>官方数据整理 · 获取日期 2026-10-13 · 金额为名义美元 · 未取对数、未插值</x:v>
      </x:c>
      <x:c r="B3" s="25"/>
      <x:c r="C3" s="25"/>
      <x:c r="D3" s="25"/>
      <x:c r="E3" s="25"/>
      <x:c r="F3" s="25"/>
    </x:row>
    <x:row r="4" ht="28" customHeight="1">
      <x:c r="A4" s="22"/>
      <x:c r="B4" s="22"/>
      <x:c r="C4" s="22"/>
      <x:c r="D4" s="22"/>
      <x:c r="E4" s="22"/>
      <x:c r="F4" s="22"/>
    </x:row>
    <x:row r="5" ht="34" customHeight="1">
      <x:c r="A5" s="27" t="str">
        <x:v>指标</x:v>
      </x:c>
      <x:c r="B5" s="27" t="str">
        <x:v>已取得频率</x:v>
      </x:c>
      <x:c r="C5" s="27" t="str">
        <x:v>时间范围</x:v>
      </x:c>
      <x:c r="D5" s="27" t="str">
        <x:v>原始单位</x:v>
      </x:c>
      <x:c r="E5" s="27" t="str">
        <x:v>主要来源</x:v>
      </x:c>
      <x:c r="F5" s="27" t="str">
        <x:v>覆盖与使用提示</x:v>
      </x:c>
    </x:row>
    <x:row r="6" ht="64" customHeight="1">
      <x:c r="A6" s="29" t="str">
        <x:v>食品整体进口额</x:v>
      </x:c>
      <x:c r="B6" s="29" t="str">
        <x:v>月度：306个月</x:v>
      </x:c>
      <x:c r="C6" s="29" t="str">
        <x:v>2001-01—2026-06</x:v>
      </x:c>
      <x:c r="D6" s="29" t="str">
        <x:v>千美元</x:v>
      </x:c>
      <x:c r="E6" s="29" t="str">
        <x:v>BSL／S01</x:v>
      </x:c>
      <x:c r="F6" s="29" t="str">
        <x:v>Food口径；包含多类食品，不限于谷物或大米</x:v>
      </x:c>
    </x:row>
    <x:row r="7" ht="64" customHeight="1">
      <x:c r="A7" s="28" t="str">
        <x:v>燃油进口额</x:v>
      </x:c>
      <x:c r="B7" s="28" t="str">
        <x:v>月度：306条原报值</x:v>
      </x:c>
      <x:c r="C7" s="28" t="str">
        <x:v>2001-01—2026-06</x:v>
      </x:c>
      <x:c r="D7" s="28" t="str">
        <x:v>千美元</x:v>
      </x:c>
      <x:c r="E7" s="28" t="str">
        <x:v>BSL／S02</x:v>
      </x:c>
      <x:c r="F7" s="28" t="str">
        <x:v>14个未解释零值保留于原始表；整理表留空标记</x:v>
      </x:c>
    </x:row>
    <x:row r="8" ht="64" customHeight="1">
      <x:c r="A8" s="29" t="str">
        <x:v>矿物燃料及润滑油进口额</x:v>
      </x:c>
      <x:c r="B8" s="29" t="str">
        <x:v>月度：306个月</x:v>
      </x:c>
      <x:c r="C8" s="29" t="str">
        <x:v>2001-01—2026-06</x:v>
      </x:c>
      <x:c r="D8" s="29" t="str">
        <x:v>千美元</x:v>
      </x:c>
      <x:c r="E8" s="29" t="str">
        <x:v>BSL／S03</x:v>
      </x:c>
      <x:c r="F8" s="29" t="str">
        <x:v>广义燃料口径；不能直接等同原油或成品油</x:v>
      </x:c>
    </x:row>
    <x:row r="9" ht="64" customHeight="1">
      <x:c r="A9" s="28" t="str">
        <x:v>铁矿石出口量</x:v>
      </x:c>
      <x:c r="B9" s="28" t="str">
        <x:v>月度21个月；年度8年</x:v>
      </x:c>
      <x:c r="C9" s="28" t="str">
        <x:v>月：2017-01—2018-09
年：2016—2023</x:v>
      </x:c>
      <x:c r="D9" s="28" t="str">
        <x:v>月：M. Tons
年：DMT或WMT</x:v>
      </x:c>
      <x:c r="E9" s="28" t="str">
        <x:v>BSL／S05；EITI／S06—S10</x:v>
      </x:c>
      <x:c r="F9" s="28" t="str">
        <x:v>年度量干湿口径变化；2019覆盖受限；2021存在跨表差异</x:v>
      </x:c>
    </x:row>
    <x:row r="10" ht="64" customHeight="1">
      <x:c r="A10" s="29" t="str">
        <x:v>铁矿石出口额（补充）</x:v>
      </x:c>
      <x:c r="B10" s="29" t="str">
        <x:v>月度：135条观测</x:v>
      </x:c>
      <x:c r="C10" s="29" t="str">
        <x:v>2011-11—2026-06</x:v>
      </x:c>
      <x:c r="D10" s="29" t="str">
        <x:v>千美元</x:v>
      </x:c>
      <x:c r="E10" s="29" t="str">
        <x:v>BSL／S04</x:v>
      </x:c>
      <x:c r="F10" s="29" t="str">
        <x:v>有缺月；未用金额推算数量</x:v>
      </x:c>
    </x:row>
    <x:row r="11" ht="28" customHeight="1">
      <x:c r="A11" s="22"/>
      <x:c r="B11" s="22"/>
      <x:c r="C11" s="22"/>
      <x:c r="D11" s="22"/>
      <x:c r="E11" s="22"/>
      <x:c r="F11" s="22"/>
    </x:row>
    <x:row r="12" ht="28" customHeight="1">
      <x:c r="A12" s="27" t="str">
        <x:v>读取数据时请保留这些区别</x:v>
      </x:c>
      <x:c r="B12" s="27"/>
      <x:c r="C12" s="27"/>
      <x:c r="D12" s="27"/>
      <x:c r="E12" s="27"/>
      <x:c r="F12" s="27"/>
    </x:row>
    <x:row r="13" ht="54" customHeight="1">
      <x:c r="A13" s="31" t="str">
        <x:v>金额单位</x:v>
      </x:c>
      <x:c r="B13" s="32" t="str">
        <x:v>原始月度表保留央行千美元值；月度数据表用公式×1,000换成美元。年度进口额由月度美元值求和，2026年只含1—6月。</x:v>
      </x:c>
      <x:c r="C13" s="32"/>
      <x:c r="D13" s="32"/>
      <x:c r="E13" s="32"/>
      <x:c r="F13" s="32"/>
    </x:row>
    <x:row r="14" ht="54" customHeight="1">
      <x:c r="A14" s="30" t="str">
        <x:v>食品范围</x:v>
      </x:c>
      <x:c r="B14" s="28" t="str">
        <x:v>央行Food对应贸易分类中的食品大类，广于狭义谷物。饮料及烟草、动植物油在央行分类中另列；本表没有用大米代替食品总额。</x:v>
      </x:c>
      <x:c r="C14" s="28"/>
      <x:c r="D14" s="28"/>
      <x:c r="E14" s="28"/>
      <x:c r="F14" s="28"/>
    </x:row>
    <x:row r="15" ht="54" customHeight="1">
      <x:c r="A15" s="31" t="str">
        <x:v>燃油范围</x:v>
      </x:c>
      <x:c r="B15" s="32" t="str">
        <x:v>同时提供O/W Fuel分项与Mineral Fuel &amp; Lubricants广义系列。部分时期分项大于广义总项，显示口径或修订不一致；两列不能相加，也不宜机械拼接。</x:v>
      </x:c>
      <x:c r="C15" s="32"/>
      <x:c r="D15" s="32"/>
      <x:c r="E15" s="32"/>
      <x:c r="F15" s="32"/>
    </x:row>
    <x:row r="16" ht="54" customHeight="1">
      <x:c r="A16" s="30" t="str">
        <x:v>燃油零值</x:v>
      </x:c>
      <x:c r="B16" s="28" t="str">
        <x:v>2025年1月、3月、7—12月及2026年1—6月共14条原报值为0，来源未解释原因。原始表保留0；整理月度表留空并标记；2025—2026燃油年度合计留空。</x:v>
      </x:c>
      <x:c r="C16" s="28"/>
      <x:c r="D16" s="28"/>
      <x:c r="E16" s="28"/>
      <x:c r="F16" s="28"/>
    </x:row>
    <x:row r="17" ht="54" customHeight="1">
      <x:c r="A17" s="31" t="str">
        <x:v>缺失与真零</x:v>
      </x:c>
      <x:c r="B17" s="32" t="str">
        <x:v>未披露月份均留空；铁矿石月度档案的明确零值及2020年EITI明确零值予以保留。没有补齐、插值、用年度量平摊月度或以产量代替出口量。</x:v>
      </x:c>
      <x:c r="C17" s="32"/>
      <x:c r="D17" s="32"/>
      <x:c r="E17" s="32"/>
      <x:c r="F17" s="32"/>
    </x:row>
    <x:row r="18" ht="54" customHeight="1">
      <x:c r="A18" s="30" t="str">
        <x:v>数量口径</x:v>
      </x:c>
      <x:c r="B18" s="28" t="str">
        <x:v>M. Tons指公吨，源表未注明干湿；DMT为干公吨，WMT为湿公吨。没有水分含量时无法严谨互换，年度量不能当作同口径连续序列直接回归。</x:v>
      </x:c>
      <x:c r="C18" s="28"/>
      <x:c r="D18" s="28"/>
      <x:c r="E18" s="28"/>
      <x:c r="F18" s="28"/>
    </x:row>
    <x:row r="19" ht="54" customHeight="1">
      <x:c r="A19" s="31" t="str">
        <x:v>铁矿年度限制</x:v>
      </x:c>
      <x:c r="B19" s="32" t="str">
        <x:v>2019年仅取出口披露表所列SL Mining数量，完整性不足；2021年NMA总表与Kingho公司披露量有差异。两年均已在年度量表中标注。</x:v>
      </x:c>
      <x:c r="C19" s="32"/>
      <x:c r="D19" s="32"/>
      <x:c r="E19" s="32"/>
      <x:c r="F19" s="32"/>
    </x:row>
    <x:row r="20" ht="54" customHeight="1">
      <x:c r="A20" s="30" t="str">
        <x:v>铁矿交叉核对</x:v>
      </x:c>
      <x:c r="B20" s="28" t="str">
        <x:v>2017年BSL月度量合计5,943,052.30公吨，EITI年度量5,946,673.67湿公吨。两者相差3,621.37吨，保留各自原值与口径。</x:v>
      </x:c>
      <x:c r="C20" s="28"/>
      <x:c r="D20" s="28"/>
      <x:c r="E20" s="28"/>
      <x:c r="F20" s="28"/>
    </x:row>
    <x:row r="21" ht="54" customHeight="1">
      <x:c r="A21" s="31" t="str">
        <x:v>时间列</x:v>
      </x:c>
      <x:c r="B21" s="32" t="str">
        <x:v>月度时间列使用该月第一天的真实Excel日期，仅代表统计月份；年度量用自然年起止日期。这些日期均不是数据发布日期。</x:v>
      </x:c>
      <x:c r="C21" s="32"/>
      <x:c r="D21" s="32"/>
      <x:c r="E21" s="32"/>
      <x:c r="F21" s="32"/>
    </x:row>
    <x:row r="22" ht="54" customHeight="1">
      <x:c r="A22" s="30" t="str">
        <x:v>建模提示</x:v>
      </x:c>
      <x:c r="B22" s="28" t="str">
        <x:v>可用月度进口额较完整；铁矿石月度出口量只有21个月且含零值，暂不足以形成与进口额同长度的数量模型。附带的出口额可用于另行定义的金额模型。</x:v>
      </x:c>
      <x:c r="C22" s="28"/>
      <x:c r="D22" s="28"/>
      <x:c r="E22" s="28"/>
      <x:c r="F22" s="28"/>
    </x:row>
    <x:row r="23" ht="54" customHeight="1">
      <x:c r="A23" s="31" t="str">
        <x:v>溯源方式</x:v>
      </x:c>
      <x:c r="B23" s="32" t="str">
        <x:v>来源链接表给出直接数据接口、文件地址、系列代码、报告页码和获取日期。官方统计入口P01可验证央行与数据仓库的关联。</x:v>
      </x:c>
      <x:c r="C23" s="32"/>
      <x:c r="D23" s="32"/>
      <x:c r="E23" s="32"/>
      <x:c r="F23" s="32"/>
    </x:row>
    <x:row r="24" ht="28" customHeight="1">
      <x:c r="A24" s="22"/>
      <x:c r="B24" s="22"/>
      <x:c r="C24" s="22"/>
      <x:c r="D24" s="22"/>
      <x:c r="E24" s="22"/>
      <x:c r="F24" s="22"/>
    </x:row>
    <x:row r="25" ht="28" customHeight="1">
      <x:c r="A25" s="33" t="str">
        <x:v>工作表顺序：月度数据 → 年度进口额 → 铁矿石年度量 → 原始月度 → 来源链接</x:v>
      </x:c>
      <x:c r="B25" s="33"/>
      <x:c r="C25" s="33"/>
      <x:c r="D25" s="33"/>
      <x:c r="E25" s="33"/>
      <x:c r="F25" s="33"/>
    </x:row>
    <x:row r="26" ht="28" customHeight="1">
      <x:c r="A26" s="22"/>
      <x:c r="B26" s="22"/>
      <x:c r="C26" s="22"/>
      <x:c r="D26" s="22"/>
      <x:c r="E26" s="22"/>
      <x:c r="F26" s="22"/>
    </x:row>
    <x:row r="27" ht="28" customHeight="1">
      <x:c r="A27" s="22"/>
      <x:c r="B27" s="22"/>
      <x:c r="C27" s="22"/>
      <x:c r="D27" s="22"/>
      <x:c r="E27" s="22"/>
      <x:c r="F27" s="22"/>
    </x:row>
    <x:row r="28" ht="28" customHeight="1">
      <x:c r="A28" s="22"/>
      <x:c r="B28" s="22"/>
      <x:c r="C28" s="22"/>
      <x:c r="D28" s="22"/>
      <x:c r="E28" s="22"/>
      <x:c r="F28" s="22"/>
    </x:row>
    <x:row r="29" ht="28" customHeight="1">
      <x:c r="A29" s="22"/>
      <x:c r="B29" s="22"/>
      <x:c r="C29" s="22"/>
      <x:c r="D29" s="22"/>
      <x:c r="E29" s="22"/>
      <x:c r="F29" s="22"/>
    </x:row>
    <x:row r="30" ht="28" customHeight="1">
      <x:c r="A30" s="22"/>
      <x:c r="B30" s="22"/>
      <x:c r="C30" s="22"/>
      <x:c r="D30" s="22"/>
      <x:c r="E30" s="22"/>
      <x:c r="F30" s="22"/>
    </x:row>
    <x:row r="31" ht="28" customHeight="1">
      <x:c r="A31" s="22"/>
      <x:c r="B31" s="22"/>
      <x:c r="C31" s="22"/>
      <x:c r="D31" s="22"/>
      <x:c r="E31" s="22"/>
      <x:c r="F31" s="22"/>
    </x:row>
    <x:row r="32" ht="28" customHeight="1">
      <x:c r="A32" s="22"/>
      <x:c r="B32" s="22"/>
      <x:c r="C32" s="22"/>
      <x:c r="D32" s="22"/>
      <x:c r="E32" s="22"/>
      <x:c r="F32" s="22"/>
    </x:row>
    <x:row r="33" ht="28" customHeight="1">
      <x:c r="A33" s="22"/>
      <x:c r="B33" s="22"/>
      <x:c r="C33" s="22"/>
      <x:c r="D33" s="22"/>
      <x:c r="E33" s="22"/>
      <x:c r="F33" s="22"/>
    </x:row>
    <x:row r="34" ht="28" customHeight="1">
      <x:c r="A34" s="22"/>
      <x:c r="B34" s="22"/>
      <x:c r="C34" s="22"/>
      <x:c r="D34" s="22"/>
      <x:c r="E34" s="22"/>
      <x:c r="F34" s="22"/>
    </x:row>
    <x:row r="35" ht="28" customHeight="1">
      <x:c r="A35" s="22"/>
      <x:c r="B35" s="22"/>
      <x:c r="C35" s="22"/>
      <x:c r="D35" s="22"/>
      <x:c r="E35" s="22"/>
      <x:c r="F35" s="22"/>
    </x:row>
    <x:row r="36" ht="28" customHeight="1">
      <x:c r="A36" s="22"/>
      <x:c r="B36" s="22"/>
      <x:c r="C36" s="22"/>
      <x:c r="D36" s="22"/>
      <x:c r="E36" s="22"/>
      <x:c r="F36" s="22"/>
    </x:row>
    <x:row r="37" ht="28" customHeight="1">
      <x:c r="A37" s="22"/>
      <x:c r="B37" s="22"/>
      <x:c r="C37" s="22"/>
      <x:c r="D37" s="22"/>
      <x:c r="E37" s="22"/>
      <x:c r="F37" s="22"/>
    </x:row>
    <x:row r="38" ht="28" customHeight="1">
      <x:c r="A38" s="22"/>
      <x:c r="B38" s="22"/>
      <x:c r="C38" s="22"/>
      <x:c r="D38" s="22"/>
      <x:c r="E38" s="22"/>
      <x:c r="F38" s="22"/>
    </x:row>
  </x:sheetData>
  <x:mergeCells>
    <x:mergeCell ref="A1:F2"/>
    <x:mergeCell ref="A3:F3"/>
    <x:mergeCell ref="A12:F12"/>
    <x:mergeCell ref="B13:F13"/>
    <x:mergeCell ref="B14:F14"/>
    <x:mergeCell ref="B15:F15"/>
    <x:mergeCell ref="B16:F16"/>
    <x:mergeCell ref="B17:F17"/>
    <x:mergeCell ref="B18:F18"/>
    <x:mergeCell ref="B19:F19"/>
    <x:mergeCell ref="B20:F20"/>
    <x:mergeCell ref="B21:F21"/>
    <x:mergeCell ref="B22:F22"/>
    <x:mergeCell ref="B23:F23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6D7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3" hidden="0" customWidth="1"/>
    <x:col min="4" max="4" width="28" hidden="0" customWidth="1"/>
    <x:col min="5" max="5" width="27" hidden="0" customWidth="1"/>
    <x:col min="6" max="6" width="27" hidden="0" customWidth="1"/>
    <x:col min="7" max="7" width="23" hidden="0" customWidth="1"/>
    <x:col min="8" max="8" width="23" hidden="0" customWidth="1"/>
    <x:col min="9" max="9" width="24" hidden="0" customWidth="1"/>
  </x:cols>
  <x:sheetData>
    <x:row r="1" ht="46" customHeight="1">
      <x:c r="A1" s="5" t="str">
        <x:v>月份</x:v>
      </x:c>
      <x:c r="B1" s="5" t="str">
        <x:v>食品整体进口额
美元</x:v>
      </x:c>
      <x:c r="C1" s="5" t="str">
        <x:v>燃油进口额
美元</x:v>
      </x:c>
      <x:c r="D1" s="5" t="str">
        <x:v>矿物燃料及润滑油进口额
美元</x:v>
      </x:c>
      <x:c r="E1" s="5" t="str">
        <x:v>铁矿石出口额（补充）
美元</x:v>
      </x:c>
      <x:c r="F1" s="5" t="str">
        <x:v>铁矿石出口量
公吨（干湿未注明）</x:v>
      </x:c>
      <x:c r="G1" s="5" t="str">
        <x:v>燃油数据标记</x:v>
      </x:c>
      <x:c r="H1" s="5" t="str">
        <x:v>铁矿石出口额标记</x:v>
      </x:c>
      <x:c r="I1" s="5" t="str">
        <x:v>铁矿石出口量标记</x:v>
      </x:c>
    </x:row>
    <x:row r="2" ht="25" customHeight="1">
      <x:c r="A2" s="7" t="d">
        <x:v>2001-01-01T00:00:00.000Z</x:v>
      </x:c>
      <x:c r="B2" s="9" t="n">
        <x:f>'原始月度'!C2*1000</x:f>
        <x:v>2258500</x:v>
      </x:c>
      <x:c r="C2" s="9" t="n">
        <x:f>IF('原始月度'!D2=0,"",'原始月度'!D2*1000)</x:f>
        <x:v>2336010</x:v>
      </x:c>
      <x:c r="D2" s="9" t="n">
        <x:f>'原始月度'!E2*1000</x:f>
        <x:v>2479900</x:v>
      </x:c>
      <x:c r="E2" s="9" t="str">
        <x:f>IF(ISNUMBER('原始月度'!F2),'原始月度'!F2*1000,"")</x:f>
      </x:c>
      <x:c r="F2" s="9" t="str">
        <x:f>IF(ISNUMBER('原始月度'!G2),'原始月度'!G2,"")</x:f>
      </x:c>
      <x:c r="G2" s="6" t="str">
        <x:v>原报非零值</x:v>
      </x:c>
      <x:c r="H2" s="6" t="str">
        <x:v>未披露</x:v>
      </x:c>
      <x:c r="I2" s="6" t="str">
        <x:v>未取得月度量</x:v>
      </x:c>
    </x:row>
    <x:row r="3" ht="25" customHeight="1">
      <x:c r="A3" s="8" t="d">
        <x:v>2001-02-01T00:00:00.000Z</x:v>
      </x:c>
      <x:c r="B3" s="10" t="n">
        <x:f>'原始月度'!C3*1000</x:f>
        <x:v>2175300</x:v>
      </x:c>
      <x:c r="C3" s="10" t="n">
        <x:f>IF('原始月度'!D3=0,"",'原始月度'!D3*1000)</x:f>
        <x:v>2575340</x:v>
      </x:c>
      <x:c r="D3" s="10" t="n">
        <x:f>'原始月度'!E3*1000</x:f>
        <x:v>2700300</x:v>
      </x:c>
      <x:c r="E3" s="10" t="str">
        <x:f>IF(ISNUMBER('原始月度'!F3),'原始月度'!F3*1000,"")</x:f>
      </x:c>
      <x:c r="F3" s="10" t="str">
        <x:f>IF(ISNUMBER('原始月度'!G3),'原始月度'!G3,"")</x:f>
      </x:c>
      <x:c r="G3" s="2" t="str">
        <x:v>原报非零值</x:v>
      </x:c>
      <x:c r="H3" s="2" t="str">
        <x:v>未披露</x:v>
      </x:c>
      <x:c r="I3" s="2" t="str">
        <x:v>未取得月度量</x:v>
      </x:c>
    </x:row>
    <x:row r="4" ht="25" customHeight="1">
      <x:c r="A4" s="7" t="d">
        <x:v>2001-03-01T00:00:00.000Z</x:v>
      </x:c>
      <x:c r="B4" s="9" t="n">
        <x:f>'原始月度'!C4*1000</x:f>
        <x:v>3568800</x:v>
      </x:c>
      <x:c r="C4" s="9" t="n">
        <x:f>IF('原始月度'!D4=0,"",'原始月度'!D4*1000)</x:f>
        <x:v>3703330</x:v>
      </x:c>
      <x:c r="D4" s="9" t="n">
        <x:f>'原始月度'!E4*1000</x:f>
        <x:v>3903900</x:v>
      </x:c>
      <x:c r="E4" s="9" t="str">
        <x:f>IF(ISNUMBER('原始月度'!F4),'原始月度'!F4*1000,"")</x:f>
      </x:c>
      <x:c r="F4" s="9" t="str">
        <x:f>IF(ISNUMBER('原始月度'!G4),'原始月度'!G4,"")</x:f>
      </x:c>
      <x:c r="G4" s="6" t="str">
        <x:v>原报非零值</x:v>
      </x:c>
      <x:c r="H4" s="6" t="str">
        <x:v>未披露</x:v>
      </x:c>
      <x:c r="I4" s="6" t="str">
        <x:v>未取得月度量</x:v>
      </x:c>
    </x:row>
    <x:row r="5" ht="25" customHeight="1">
      <x:c r="A5" s="8" t="d">
        <x:v>2001-04-01T00:00:00.000Z</x:v>
      </x:c>
      <x:c r="B5" s="10" t="n">
        <x:f>'原始月度'!C5*1000</x:f>
        <x:v>3410700</x:v>
      </x:c>
      <x:c r="C5" s="10" t="n">
        <x:f>IF('原始月度'!D5=0,"",'原始月度'!D5*1000)</x:f>
        <x:v>2779170</x:v>
      </x:c>
      <x:c r="D5" s="10" t="n">
        <x:f>'原始月度'!E5*1000</x:f>
        <x:v>2976200</x:v>
      </x:c>
      <x:c r="E5" s="10" t="str">
        <x:f>IF(ISNUMBER('原始月度'!F5),'原始月度'!F5*1000,"")</x:f>
      </x:c>
      <x:c r="F5" s="10" t="str">
        <x:f>IF(ISNUMBER('原始月度'!G5),'原始月度'!G5,"")</x:f>
      </x:c>
      <x:c r="G5" s="2" t="str">
        <x:v>原报非零值</x:v>
      </x:c>
      <x:c r="H5" s="2" t="str">
        <x:v>未披露</x:v>
      </x:c>
      <x:c r="I5" s="2" t="str">
        <x:v>未取得月度量</x:v>
      </x:c>
    </x:row>
    <x:row r="6" ht="25" customHeight="1">
      <x:c r="A6" s="7" t="d">
        <x:v>2001-05-01T00:00:00.000Z</x:v>
      </x:c>
      <x:c r="B6" s="9" t="n">
        <x:f>'原始月度'!C6*1000</x:f>
        <x:v>4931900</x:v>
      </x:c>
      <x:c r="C6" s="9" t="n">
        <x:f>IF('原始月度'!D6=0,"",'原始月度'!D6*1000)</x:f>
        <x:v>4028690</x:v>
      </x:c>
      <x:c r="D6" s="9" t="n">
        <x:f>'原始月度'!E6*1000</x:f>
        <x:v>4377400</x:v>
      </x:c>
      <x:c r="E6" s="9" t="str">
        <x:f>IF(ISNUMBER('原始月度'!F6),'原始月度'!F6*1000,"")</x:f>
      </x:c>
      <x:c r="F6" s="9" t="str">
        <x:f>IF(ISNUMBER('原始月度'!G6),'原始月度'!G6,"")</x:f>
      </x:c>
      <x:c r="G6" s="6" t="str">
        <x:v>原报非零值</x:v>
      </x:c>
      <x:c r="H6" s="6" t="str">
        <x:v>未披露</x:v>
      </x:c>
      <x:c r="I6" s="6" t="str">
        <x:v>未取得月度量</x:v>
      </x:c>
    </x:row>
    <x:row r="7" ht="25" customHeight="1">
      <x:c r="A7" s="8" t="d">
        <x:v>2001-06-01T00:00:00.000Z</x:v>
      </x:c>
      <x:c r="B7" s="10" t="n">
        <x:f>'原始月度'!C7*1000</x:f>
        <x:v>5247600</x:v>
      </x:c>
      <x:c r="C7" s="10" t="n">
        <x:f>IF('原始月度'!D7=0,"",'原始月度'!D7*1000)</x:f>
        <x:v>1478080</x:v>
      </x:c>
      <x:c r="D7" s="10" t="n">
        <x:f>'原始月度'!E7*1000</x:f>
        <x:v>1787600</x:v>
      </x:c>
      <x:c r="E7" s="10" t="str">
        <x:f>IF(ISNUMBER('原始月度'!F7),'原始月度'!F7*1000,"")</x:f>
      </x:c>
      <x:c r="F7" s="10" t="str">
        <x:f>IF(ISNUMBER('原始月度'!G7),'原始月度'!G7,"")</x:f>
      </x:c>
      <x:c r="G7" s="2" t="str">
        <x:v>原报非零值</x:v>
      </x:c>
      <x:c r="H7" s="2" t="str">
        <x:v>未披露</x:v>
      </x:c>
      <x:c r="I7" s="2" t="str">
        <x:v>未取得月度量</x:v>
      </x:c>
    </x:row>
    <x:row r="8" ht="25" customHeight="1">
      <x:c r="A8" s="7" t="d">
        <x:v>2001-07-01T00:00:00.000Z</x:v>
      </x:c>
      <x:c r="B8" s="9" t="n">
        <x:f>'原始月度'!C8*1000</x:f>
        <x:v>3552500</x:v>
      </x:c>
      <x:c r="C8" s="9" t="n">
        <x:f>IF('原始月度'!D8=0,"",'原始月度'!D8*1000)</x:f>
        <x:v>4329170</x:v>
      </x:c>
      <x:c r="D8" s="9" t="n">
        <x:f>'原始月度'!E8*1000</x:f>
        <x:v>4535500</x:v>
      </x:c>
      <x:c r="E8" s="9" t="str">
        <x:f>IF(ISNUMBER('原始月度'!F8),'原始月度'!F8*1000,"")</x:f>
      </x:c>
      <x:c r="F8" s="9" t="str">
        <x:f>IF(ISNUMBER('原始月度'!G8),'原始月度'!G8,"")</x:f>
      </x:c>
      <x:c r="G8" s="6" t="str">
        <x:v>原报非零值</x:v>
      </x:c>
      <x:c r="H8" s="6" t="str">
        <x:v>未披露</x:v>
      </x:c>
      <x:c r="I8" s="6" t="str">
        <x:v>未取得月度量</x:v>
      </x:c>
    </x:row>
    <x:row r="9" ht="25" customHeight="1">
      <x:c r="A9" s="8" t="d">
        <x:v>2001-08-01T00:00:00.000Z</x:v>
      </x:c>
      <x:c r="B9" s="10" t="n">
        <x:f>'原始月度'!C9*1000</x:f>
        <x:v>5369700</x:v>
      </x:c>
      <x:c r="C9" s="10" t="n">
        <x:f>IF('原始月度'!D9=0,"",'原始月度'!D9*1000)</x:f>
        <x:v>3780980</x:v>
      </x:c>
      <x:c r="D9" s="10" t="n">
        <x:f>'原始月度'!E9*1000</x:f>
        <x:v>4256600</x:v>
      </x:c>
      <x:c r="E9" s="10" t="str">
        <x:f>IF(ISNUMBER('原始月度'!F9),'原始月度'!F9*1000,"")</x:f>
      </x:c>
      <x:c r="F9" s="10" t="str">
        <x:f>IF(ISNUMBER('原始月度'!G9),'原始月度'!G9,"")</x:f>
      </x:c>
      <x:c r="G9" s="2" t="str">
        <x:v>原报非零值</x:v>
      </x:c>
      <x:c r="H9" s="2" t="str">
        <x:v>未披露</x:v>
      </x:c>
      <x:c r="I9" s="2" t="str">
        <x:v>未取得月度量</x:v>
      </x:c>
    </x:row>
    <x:row r="10" ht="25" customHeight="1">
      <x:c r="A10" s="7" t="d">
        <x:v>2001-09-01T00:00:00.000Z</x:v>
      </x:c>
      <x:c r="B10" s="9" t="n">
        <x:f>'原始月度'!C10*1000</x:f>
        <x:v>6126500</x:v>
      </x:c>
      <x:c r="C10" s="9" t="n">
        <x:f>IF('原始月度'!D10=0,"",'原始月度'!D10*1000)</x:f>
        <x:v>4162229.9999999995</x:v>
      </x:c>
      <x:c r="D10" s="9" t="n">
        <x:f>'原始月度'!E10*1000</x:f>
        <x:v>7114500</x:v>
      </x:c>
      <x:c r="E10" s="9" t="str">
        <x:f>IF(ISNUMBER('原始月度'!F10),'原始月度'!F10*1000,"")</x:f>
      </x:c>
      <x:c r="F10" s="9" t="str">
        <x:f>IF(ISNUMBER('原始月度'!G10),'原始月度'!G10,"")</x:f>
      </x:c>
      <x:c r="G10" s="6" t="str">
        <x:v>原报非零值</x:v>
      </x:c>
      <x:c r="H10" s="6" t="str">
        <x:v>未披露</x:v>
      </x:c>
      <x:c r="I10" s="6" t="str">
        <x:v>未取得月度量</x:v>
      </x:c>
    </x:row>
    <x:row r="11" ht="25" customHeight="1">
      <x:c r="A11" s="8" t="d">
        <x:v>2001-10-01T00:00:00.000Z</x:v>
      </x:c>
      <x:c r="B11" s="10" t="n">
        <x:f>'原始月度'!C11*1000</x:f>
        <x:v>6373300</x:v>
      </x:c>
      <x:c r="C11" s="10" t="n">
        <x:f>IF('原始月度'!D11=0,"",'原始月度'!D11*1000)</x:f>
        <x:v>1332710</x:v>
      </x:c>
      <x:c r="D11" s="10" t="n">
        <x:f>'原始月度'!E11*1000</x:f>
        <x:v>1526100</x:v>
      </x:c>
      <x:c r="E11" s="10" t="str">
        <x:f>IF(ISNUMBER('原始月度'!F11),'原始月度'!F11*1000,"")</x:f>
      </x:c>
      <x:c r="F11" s="10" t="str">
        <x:f>IF(ISNUMBER('原始月度'!G11),'原始月度'!G11,"")</x:f>
      </x:c>
      <x:c r="G11" s="2" t="str">
        <x:v>原报非零值</x:v>
      </x:c>
      <x:c r="H11" s="2" t="str">
        <x:v>未披露</x:v>
      </x:c>
      <x:c r="I11" s="2" t="str">
        <x:v>未取得月度量</x:v>
      </x:c>
    </x:row>
    <x:row r="12" ht="25" customHeight="1">
      <x:c r="A12" s="7" t="d">
        <x:v>2001-11-01T00:00:00.000Z</x:v>
      </x:c>
      <x:c r="B12" s="9" t="n">
        <x:f>'原始月度'!C12*1000</x:f>
        <x:v>4059300</x:v>
      </x:c>
      <x:c r="C12" s="9" t="n">
        <x:f>IF('原始月度'!D12=0,"",'原始月度'!D12*1000)</x:f>
        <x:v>3547490</x:v>
      </x:c>
      <x:c r="D12" s="9" t="n">
        <x:f>'原始月度'!E12*1000</x:f>
        <x:v>3716700</x:v>
      </x:c>
      <x:c r="E12" s="9" t="str">
        <x:f>IF(ISNUMBER('原始月度'!F12),'原始月度'!F12*1000,"")</x:f>
      </x:c>
      <x:c r="F12" s="9" t="str">
        <x:f>IF(ISNUMBER('原始月度'!G12),'原始月度'!G12,"")</x:f>
      </x:c>
      <x:c r="G12" s="6" t="str">
        <x:v>原报非零值</x:v>
      </x:c>
      <x:c r="H12" s="6" t="str">
        <x:v>未披露</x:v>
      </x:c>
      <x:c r="I12" s="6" t="str">
        <x:v>未取得月度量</x:v>
      </x:c>
    </x:row>
    <x:row r="13" ht="25" customHeight="1">
      <x:c r="A13" s="8" t="d">
        <x:v>2001-12-01T00:00:00.000Z</x:v>
      </x:c>
      <x:c r="B13" s="10" t="n">
        <x:f>'原始月度'!C13*1000</x:f>
        <x:v>4842900</x:v>
      </x:c>
      <x:c r="C13" s="10" t="n">
        <x:f>IF('原始月度'!D13=0,"",'原始月度'!D13*1000)</x:f>
        <x:v>3415690</x:v>
      </x:c>
      <x:c r="D13" s="10" t="n">
        <x:f>'原始月度'!E13*1000</x:f>
        <x:v>3960100</x:v>
      </x:c>
      <x:c r="E13" s="10" t="str">
        <x:f>IF(ISNUMBER('原始月度'!F13),'原始月度'!F13*1000,"")</x:f>
      </x:c>
      <x:c r="F13" s="10" t="str">
        <x:f>IF(ISNUMBER('原始月度'!G13),'原始月度'!G13,"")</x:f>
      </x:c>
      <x:c r="G13" s="2" t="str">
        <x:v>原报非零值</x:v>
      </x:c>
      <x:c r="H13" s="2" t="str">
        <x:v>未披露</x:v>
      </x:c>
      <x:c r="I13" s="2" t="str">
        <x:v>未取得月度量</x:v>
      </x:c>
    </x:row>
    <x:row r="14" ht="25" customHeight="1">
      <x:c r="A14" s="7" t="d">
        <x:v>2002-01-01T00:00:00.000Z</x:v>
      </x:c>
      <x:c r="B14" s="9" t="n">
        <x:f>'原始月度'!C14*1000</x:f>
        <x:v>5343800</x:v>
      </x:c>
      <x:c r="C14" s="9" t="n">
        <x:f>IF('原始月度'!D14=0,"",'原始月度'!D14*1000)</x:f>
        <x:v>1975140</x:v>
      </x:c>
      <x:c r="D14" s="9" t="n">
        <x:f>'原始月度'!E14*1000</x:f>
        <x:v>1953800</x:v>
      </x:c>
      <x:c r="E14" s="9" t="str">
        <x:f>IF(ISNUMBER('原始月度'!F14),'原始月度'!F14*1000,"")</x:f>
      </x:c>
      <x:c r="F14" s="9" t="str">
        <x:f>IF(ISNUMBER('原始月度'!G14),'原始月度'!G14,"")</x:f>
      </x:c>
      <x:c r="G14" s="6" t="str">
        <x:v>原报非零值</x:v>
      </x:c>
      <x:c r="H14" s="6" t="str">
        <x:v>未披露</x:v>
      </x:c>
      <x:c r="I14" s="6" t="str">
        <x:v>未取得月度量</x:v>
      </x:c>
    </x:row>
    <x:row r="15" ht="25" customHeight="1">
      <x:c r="A15" s="8" t="d">
        <x:v>2002-02-01T00:00:00.000Z</x:v>
      </x:c>
      <x:c r="B15" s="10" t="n">
        <x:f>'原始月度'!C15*1000</x:f>
        <x:v>5884700</x:v>
      </x:c>
      <x:c r="C15" s="10" t="n">
        <x:f>IF('原始月度'!D15=0,"",'原始月度'!D15*1000)</x:f>
        <x:v>3285160</x:v>
      </x:c>
      <x:c r="D15" s="10" t="n">
        <x:f>'原始月度'!E15*1000</x:f>
        <x:v>3886300</x:v>
      </x:c>
      <x:c r="E15" s="10" t="str">
        <x:f>IF(ISNUMBER('原始月度'!F15),'原始月度'!F15*1000,"")</x:f>
      </x:c>
      <x:c r="F15" s="10" t="str">
        <x:f>IF(ISNUMBER('原始月度'!G15),'原始月度'!G15,"")</x:f>
      </x:c>
      <x:c r="G15" s="2" t="str">
        <x:v>原报非零值</x:v>
      </x:c>
      <x:c r="H15" s="2" t="str">
        <x:v>未披露</x:v>
      </x:c>
      <x:c r="I15" s="2" t="str">
        <x:v>未取得月度量</x:v>
      </x:c>
    </x:row>
    <x:row r="16" ht="25" customHeight="1">
      <x:c r="A16" s="7" t="d">
        <x:v>2002-03-01T00:00:00.000Z</x:v>
      </x:c>
      <x:c r="B16" s="9" t="n">
        <x:f>'原始月度'!C16*1000</x:f>
        <x:v>5187800</x:v>
      </x:c>
      <x:c r="C16" s="9" t="n">
        <x:f>IF('原始月度'!D16=0,"",'原始月度'!D16*1000)</x:f>
        <x:v>3987080</x:v>
      </x:c>
      <x:c r="D16" s="9" t="n">
        <x:f>'原始月度'!E16*1000</x:f>
        <x:v>4329700</x:v>
      </x:c>
      <x:c r="E16" s="9" t="str">
        <x:f>IF(ISNUMBER('原始月度'!F16),'原始月度'!F16*1000,"")</x:f>
      </x:c>
      <x:c r="F16" s="9" t="str">
        <x:f>IF(ISNUMBER('原始月度'!G16),'原始月度'!G16,"")</x:f>
      </x:c>
      <x:c r="G16" s="6" t="str">
        <x:v>原报非零值</x:v>
      </x:c>
      <x:c r="H16" s="6" t="str">
        <x:v>未披露</x:v>
      </x:c>
      <x:c r="I16" s="6" t="str">
        <x:v>未取得月度量</x:v>
      </x:c>
    </x:row>
    <x:row r="17" ht="25" customHeight="1">
      <x:c r="A17" s="8" t="d">
        <x:v>2002-04-01T00:00:00.000Z</x:v>
      </x:c>
      <x:c r="B17" s="10" t="n">
        <x:f>'原始月度'!C17*1000</x:f>
        <x:v>2450200</x:v>
      </x:c>
      <x:c r="C17" s="10" t="n">
        <x:f>IF('原始月度'!D17=0,"",'原始月度'!D17*1000)</x:f>
        <x:v>4204070</x:v>
      </x:c>
      <x:c r="D17" s="10" t="n">
        <x:f>'原始月度'!E17*1000</x:f>
        <x:v>6452500</x:v>
      </x:c>
      <x:c r="E17" s="10" t="str">
        <x:f>IF(ISNUMBER('原始月度'!F17),'原始月度'!F17*1000,"")</x:f>
      </x:c>
      <x:c r="F17" s="10" t="str">
        <x:f>IF(ISNUMBER('原始月度'!G17),'原始月度'!G17,"")</x:f>
      </x:c>
      <x:c r="G17" s="2" t="str">
        <x:v>原报非零值</x:v>
      </x:c>
      <x:c r="H17" s="2" t="str">
        <x:v>未披露</x:v>
      </x:c>
      <x:c r="I17" s="2" t="str">
        <x:v>未取得月度量</x:v>
      </x:c>
    </x:row>
    <x:row r="18" ht="25" customHeight="1">
      <x:c r="A18" s="7" t="d">
        <x:v>2002-05-01T00:00:00.000Z</x:v>
      </x:c>
      <x:c r="B18" s="9" t="n">
        <x:f>'原始月度'!C18*1000</x:f>
        <x:v>4514600</x:v>
      </x:c>
      <x:c r="C18" s="9" t="n">
        <x:f>IF('原始月度'!D18=0,"",'原始月度'!D18*1000)</x:f>
        <x:v>2562310</x:v>
      </x:c>
      <x:c r="D18" s="9" t="n">
        <x:f>'原始月度'!E18*1000</x:f>
        <x:v>3085400</x:v>
      </x:c>
      <x:c r="E18" s="9" t="str">
        <x:f>IF(ISNUMBER('原始月度'!F18),'原始月度'!F18*1000,"")</x:f>
      </x:c>
      <x:c r="F18" s="9" t="str">
        <x:f>IF(ISNUMBER('原始月度'!G18),'原始月度'!G18,"")</x:f>
      </x:c>
      <x:c r="G18" s="6" t="str">
        <x:v>原报非零值</x:v>
      </x:c>
      <x:c r="H18" s="6" t="str">
        <x:v>未披露</x:v>
      </x:c>
      <x:c r="I18" s="6" t="str">
        <x:v>未取得月度量</x:v>
      </x:c>
    </x:row>
    <x:row r="19" ht="25" customHeight="1">
      <x:c r="A19" s="8" t="d">
        <x:v>2002-06-01T00:00:00.000Z</x:v>
      </x:c>
      <x:c r="B19" s="10" t="n">
        <x:f>'原始月度'!C19*1000</x:f>
        <x:v>5541800</x:v>
      </x:c>
      <x:c r="C19" s="10" t="n">
        <x:f>IF('原始月度'!D19=0,"",'原始月度'!D19*1000)</x:f>
        <x:v>4189430.0000000005</x:v>
      </x:c>
      <x:c r="D19" s="10" t="n">
        <x:f>'原始月度'!E19*1000</x:f>
        <x:v>5152400</x:v>
      </x:c>
      <x:c r="E19" s="10" t="str">
        <x:f>IF(ISNUMBER('原始月度'!F19),'原始月度'!F19*1000,"")</x:f>
      </x:c>
      <x:c r="F19" s="10" t="str">
        <x:f>IF(ISNUMBER('原始月度'!G19),'原始月度'!G19,"")</x:f>
      </x:c>
      <x:c r="G19" s="2" t="str">
        <x:v>原报非零值</x:v>
      </x:c>
      <x:c r="H19" s="2" t="str">
        <x:v>未披露</x:v>
      </x:c>
      <x:c r="I19" s="2" t="str">
        <x:v>未取得月度量</x:v>
      </x:c>
    </x:row>
    <x:row r="20" ht="25" customHeight="1">
      <x:c r="A20" s="7" t="d">
        <x:v>2002-07-01T00:00:00.000Z</x:v>
      </x:c>
      <x:c r="B20" s="9" t="n">
        <x:f>'原始月度'!C20*1000</x:f>
        <x:v>4442000</x:v>
      </x:c>
      <x:c r="C20" s="9" t="n">
        <x:f>IF('原始月度'!D20=0,"",'原始月度'!D20*1000)</x:f>
        <x:v>5424340</x:v>
      </x:c>
      <x:c r="D20" s="9" t="n">
        <x:f>'原始月度'!E20*1000</x:f>
        <x:v>5869800</x:v>
      </x:c>
      <x:c r="E20" s="9" t="str">
        <x:f>IF(ISNUMBER('原始月度'!F20),'原始月度'!F20*1000,"")</x:f>
      </x:c>
      <x:c r="F20" s="9" t="str">
        <x:f>IF(ISNUMBER('原始月度'!G20),'原始月度'!G20,"")</x:f>
      </x:c>
      <x:c r="G20" s="6" t="str">
        <x:v>原报非零值</x:v>
      </x:c>
      <x:c r="H20" s="6" t="str">
        <x:v>未披露</x:v>
      </x:c>
      <x:c r="I20" s="6" t="str">
        <x:v>未取得月度量</x:v>
      </x:c>
    </x:row>
    <x:row r="21" ht="25" customHeight="1">
      <x:c r="A21" s="8" t="d">
        <x:v>2002-08-01T00:00:00.000Z</x:v>
      </x:c>
      <x:c r="B21" s="10" t="n">
        <x:f>'原始月度'!C21*1000</x:f>
        <x:v>7235400</x:v>
      </x:c>
      <x:c r="C21" s="10" t="n">
        <x:f>IF('原始月度'!D21=0,"",'原始月度'!D21*1000)</x:f>
        <x:v>4399840</x:v>
      </x:c>
      <x:c r="D21" s="10" t="n">
        <x:f>'原始月度'!E21*1000</x:f>
        <x:v>5195400</x:v>
      </x:c>
      <x:c r="E21" s="10" t="str">
        <x:f>IF(ISNUMBER('原始月度'!F21),'原始月度'!F21*1000,"")</x:f>
      </x:c>
      <x:c r="F21" s="10" t="str">
        <x:f>IF(ISNUMBER('原始月度'!G21),'原始月度'!G21,"")</x:f>
      </x:c>
      <x:c r="G21" s="2" t="str">
        <x:v>原报非零值</x:v>
      </x:c>
      <x:c r="H21" s="2" t="str">
        <x:v>未披露</x:v>
      </x:c>
      <x:c r="I21" s="2" t="str">
        <x:v>未取得月度量</x:v>
      </x:c>
    </x:row>
    <x:row r="22" ht="25" customHeight="1">
      <x:c r="A22" s="7" t="d">
        <x:v>2002-09-01T00:00:00.000Z</x:v>
      </x:c>
      <x:c r="B22" s="9" t="n">
        <x:f>'原始月度'!C22*1000</x:f>
        <x:v>8313200.000000001</x:v>
      </x:c>
      <x:c r="C22" s="9" t="n">
        <x:f>IF('原始月度'!D22=0,"",'原始月度'!D22*1000)</x:f>
        <x:v>2294400</x:v>
      </x:c>
      <x:c r="D22" s="9" t="n">
        <x:f>'原始月度'!E22*1000</x:f>
        <x:v>2560900</x:v>
      </x:c>
      <x:c r="E22" s="9" t="str">
        <x:f>IF(ISNUMBER('原始月度'!F22),'原始月度'!F22*1000,"")</x:f>
      </x:c>
      <x:c r="F22" s="9" t="str">
        <x:f>IF(ISNUMBER('原始月度'!G22),'原始月度'!G22,"")</x:f>
      </x:c>
      <x:c r="G22" s="6" t="str">
        <x:v>原报非零值</x:v>
      </x:c>
      <x:c r="H22" s="6" t="str">
        <x:v>未披露</x:v>
      </x:c>
      <x:c r="I22" s="6" t="str">
        <x:v>未取得月度量</x:v>
      </x:c>
    </x:row>
    <x:row r="23" ht="25" customHeight="1">
      <x:c r="A23" s="8" t="d">
        <x:v>2002-10-01T00:00:00.000Z</x:v>
      </x:c>
      <x:c r="B23" s="10" t="n">
        <x:f>'原始月度'!C23*1000</x:f>
        <x:v>9542100</x:v>
      </x:c>
      <x:c r="C23" s="10" t="n">
        <x:f>IF('原始月度'!D23=0,"",'原始月度'!D23*1000)</x:f>
        <x:v>5881500</x:v>
      </x:c>
      <x:c r="D23" s="10" t="n">
        <x:f>'原始月度'!E23*1000</x:f>
        <x:v>6165000</x:v>
      </x:c>
      <x:c r="E23" s="10" t="str">
        <x:f>IF(ISNUMBER('原始月度'!F23),'原始月度'!F23*1000,"")</x:f>
      </x:c>
      <x:c r="F23" s="10" t="str">
        <x:f>IF(ISNUMBER('原始月度'!G23),'原始月度'!G23,"")</x:f>
      </x:c>
      <x:c r="G23" s="2" t="str">
        <x:v>原报非零值</x:v>
      </x:c>
      <x:c r="H23" s="2" t="str">
        <x:v>未披露</x:v>
      </x:c>
      <x:c r="I23" s="2" t="str">
        <x:v>未取得月度量</x:v>
      </x:c>
    </x:row>
    <x:row r="24" ht="25" customHeight="1">
      <x:c r="A24" s="7" t="d">
        <x:v>2002-11-01T00:00:00.000Z</x:v>
      </x:c>
      <x:c r="B24" s="9" t="n">
        <x:f>'原始月度'!C24*1000</x:f>
        <x:v>7678400</x:v>
      </x:c>
      <x:c r="C24" s="9" t="n">
        <x:f>IF('原始月度'!D24=0,"",'原始月度'!D24*1000)</x:f>
        <x:v>1446400</x:v>
      </x:c>
      <x:c r="D24" s="9" t="n">
        <x:f>'原始月度'!E24*1000</x:f>
        <x:v>1764500</x:v>
      </x:c>
      <x:c r="E24" s="9" t="str">
        <x:f>IF(ISNUMBER('原始月度'!F24),'原始月度'!F24*1000,"")</x:f>
      </x:c>
      <x:c r="F24" s="9" t="str">
        <x:f>IF(ISNUMBER('原始月度'!G24),'原始月度'!G24,"")</x:f>
      </x:c>
      <x:c r="G24" s="6" t="str">
        <x:v>原报非零值</x:v>
      </x:c>
      <x:c r="H24" s="6" t="str">
        <x:v>未披露</x:v>
      </x:c>
      <x:c r="I24" s="6" t="str">
        <x:v>未取得月度量</x:v>
      </x:c>
    </x:row>
    <x:row r="25" ht="25" customHeight="1">
      <x:c r="A25" s="8" t="d">
        <x:v>2002-12-01T00:00:00.000Z</x:v>
      </x:c>
      <x:c r="B25" s="10" t="n">
        <x:f>'原始月度'!C25*1000</x:f>
        <x:v>4649200</x:v>
      </x:c>
      <x:c r="C25" s="10" t="n">
        <x:f>IF('原始月度'!D25=0,"",'原始月度'!D25*1000)</x:f>
        <x:v>5131930</x:v>
      </x:c>
      <x:c r="D25" s="10" t="n">
        <x:f>'原始月度'!E25*1000</x:f>
        <x:v>5313200</x:v>
      </x:c>
      <x:c r="E25" s="10" t="str">
        <x:f>IF(ISNUMBER('原始月度'!F25),'原始月度'!F25*1000,"")</x:f>
      </x:c>
      <x:c r="F25" s="10" t="str">
        <x:f>IF(ISNUMBER('原始月度'!G25),'原始月度'!G25,"")</x:f>
      </x:c>
      <x:c r="G25" s="2" t="str">
        <x:v>原报非零值</x:v>
      </x:c>
      <x:c r="H25" s="2" t="str">
        <x:v>未披露</x:v>
      </x:c>
      <x:c r="I25" s="2" t="str">
        <x:v>未取得月度量</x:v>
      </x:c>
    </x:row>
    <x:row r="26" ht="25" customHeight="1">
      <x:c r="A26" s="7" t="d">
        <x:v>2003-01-01T00:00:00.000Z</x:v>
      </x:c>
      <x:c r="B26" s="9" t="n">
        <x:f>'原始月度'!C26*1000</x:f>
        <x:v>9509300</x:v>
      </x:c>
      <x:c r="C26" s="9" t="n">
        <x:f>IF('原始月度'!D26=0,"",'原始月度'!D26*1000)</x:f>
        <x:v>6115500</x:v>
      </x:c>
      <x:c r="D26" s="9" t="n">
        <x:f>'原始月度'!E26*1000</x:f>
        <x:v>11277600</x:v>
      </x:c>
      <x:c r="E26" s="9" t="str">
        <x:f>IF(ISNUMBER('原始月度'!F26),'原始月度'!F26*1000,"")</x:f>
      </x:c>
      <x:c r="F26" s="9" t="str">
        <x:f>IF(ISNUMBER('原始月度'!G26),'原始月度'!G26,"")</x:f>
      </x:c>
      <x:c r="G26" s="6" t="str">
        <x:v>原报非零值</x:v>
      </x:c>
      <x:c r="H26" s="6" t="str">
        <x:v>未披露</x:v>
      </x:c>
      <x:c r="I26" s="6" t="str">
        <x:v>未取得月度量</x:v>
      </x:c>
    </x:row>
    <x:row r="27" ht="25" customHeight="1">
      <x:c r="A27" s="8" t="d">
        <x:v>2003-02-01T00:00:00.000Z</x:v>
      </x:c>
      <x:c r="B27" s="10" t="n">
        <x:f>'原始月度'!C27*1000</x:f>
        <x:v>7711600</x:v>
      </x:c>
      <x:c r="C27" s="10" t="n">
        <x:f>IF('原始月度'!D27=0,"",'原始月度'!D27*1000)</x:f>
        <x:v>3099880</x:v>
      </x:c>
      <x:c r="D27" s="10" t="n">
        <x:f>'原始月度'!E27*1000</x:f>
        <x:v>3497200</x:v>
      </x:c>
      <x:c r="E27" s="10" t="str">
        <x:f>IF(ISNUMBER('原始月度'!F27),'原始月度'!F27*1000,"")</x:f>
      </x:c>
      <x:c r="F27" s="10" t="str">
        <x:f>IF(ISNUMBER('原始月度'!G27),'原始月度'!G27,"")</x:f>
      </x:c>
      <x:c r="G27" s="2" t="str">
        <x:v>原报非零值</x:v>
      </x:c>
      <x:c r="H27" s="2" t="str">
        <x:v>未披露</x:v>
      </x:c>
      <x:c r="I27" s="2" t="str">
        <x:v>未取得月度量</x:v>
      </x:c>
    </x:row>
    <x:row r="28" ht="25" customHeight="1">
      <x:c r="A28" s="7" t="d">
        <x:v>2003-03-01T00:00:00.000Z</x:v>
      </x:c>
      <x:c r="B28" s="9" t="n">
        <x:f>'原始月度'!C28*1000</x:f>
        <x:v>5959500</x:v>
      </x:c>
      <x:c r="C28" s="9" t="n">
        <x:f>IF('原始月度'!D28=0,"",'原始月度'!D28*1000)</x:f>
        <x:v>7747620</x:v>
      </x:c>
      <x:c r="D28" s="9" t="n">
        <x:f>'原始月度'!E28*1000</x:f>
        <x:v>8833300</x:v>
      </x:c>
      <x:c r="E28" s="9" t="str">
        <x:f>IF(ISNUMBER('原始月度'!F28),'原始月度'!F28*1000,"")</x:f>
      </x:c>
      <x:c r="F28" s="9" t="str">
        <x:f>IF(ISNUMBER('原始月度'!G28),'原始月度'!G28,"")</x:f>
      </x:c>
      <x:c r="G28" s="6" t="str">
        <x:v>原报非零值</x:v>
      </x:c>
      <x:c r="H28" s="6" t="str">
        <x:v>未披露</x:v>
      </x:c>
      <x:c r="I28" s="6" t="str">
        <x:v>未取得月度量</x:v>
      </x:c>
    </x:row>
    <x:row r="29" ht="25" customHeight="1">
      <x:c r="A29" s="8" t="d">
        <x:v>2003-04-01T00:00:00.000Z</x:v>
      </x:c>
      <x:c r="B29" s="10" t="n">
        <x:f>'原始月度'!C29*1000</x:f>
        <x:v>5331100</x:v>
      </x:c>
      <x:c r="C29" s="10" t="n">
        <x:f>IF('原始月度'!D29=0,"",'原始月度'!D29*1000)</x:f>
        <x:v>3000960</x:v>
      </x:c>
      <x:c r="D29" s="10" t="n">
        <x:f>'原始月度'!E29*1000</x:f>
        <x:v>4348900</x:v>
      </x:c>
      <x:c r="E29" s="10" t="str">
        <x:f>IF(ISNUMBER('原始月度'!F29),'原始月度'!F29*1000,"")</x:f>
      </x:c>
      <x:c r="F29" s="10" t="str">
        <x:f>IF(ISNUMBER('原始月度'!G29),'原始月度'!G29,"")</x:f>
      </x:c>
      <x:c r="G29" s="2" t="str">
        <x:v>原报非零值</x:v>
      </x:c>
      <x:c r="H29" s="2" t="str">
        <x:v>未披露</x:v>
      </x:c>
      <x:c r="I29" s="2" t="str">
        <x:v>未取得月度量</x:v>
      </x:c>
    </x:row>
    <x:row r="30" ht="25" customHeight="1">
      <x:c r="A30" s="7" t="d">
        <x:v>2003-05-01T00:00:00.000Z</x:v>
      </x:c>
      <x:c r="B30" s="9" t="n">
        <x:f>'原始月度'!C30*1000</x:f>
        <x:v>4206300</x:v>
      </x:c>
      <x:c r="C30" s="9" t="n">
        <x:f>IF('原始月度'!D30=0,"",'原始月度'!D30*1000)</x:f>
        <x:v>4223340</x:v>
      </x:c>
      <x:c r="D30" s="9" t="n">
        <x:f>'原始月度'!E30*1000</x:f>
        <x:v>6481800</x:v>
      </x:c>
      <x:c r="E30" s="9" t="str">
        <x:f>IF(ISNUMBER('原始月度'!F30),'原始月度'!F30*1000,"")</x:f>
      </x:c>
      <x:c r="F30" s="9" t="str">
        <x:f>IF(ISNUMBER('原始月度'!G30),'原始月度'!G30,"")</x:f>
      </x:c>
      <x:c r="G30" s="6" t="str">
        <x:v>原报非零值</x:v>
      </x:c>
      <x:c r="H30" s="6" t="str">
        <x:v>未披露</x:v>
      </x:c>
      <x:c r="I30" s="6" t="str">
        <x:v>未取得月度量</x:v>
      </x:c>
    </x:row>
    <x:row r="31" ht="25" customHeight="1">
      <x:c r="A31" s="8" t="d">
        <x:v>2003-06-01T00:00:00.000Z</x:v>
      </x:c>
      <x:c r="B31" s="10" t="n">
        <x:f>'原始月度'!C31*1000</x:f>
        <x:v>5838800</x:v>
      </x:c>
      <x:c r="C31" s="10" t="n">
        <x:f>IF('原始月度'!D31=0,"",'原始月度'!D31*1000)</x:f>
        <x:v>11272740</x:v>
      </x:c>
      <x:c r="D31" s="10" t="n">
        <x:f>'原始月度'!E31*1000</x:f>
        <x:v>13406400</x:v>
      </x:c>
      <x:c r="E31" s="10" t="str">
        <x:f>IF(ISNUMBER('原始月度'!F31),'原始月度'!F31*1000,"")</x:f>
      </x:c>
      <x:c r="F31" s="10" t="str">
        <x:f>IF(ISNUMBER('原始月度'!G31),'原始月度'!G31,"")</x:f>
      </x:c>
      <x:c r="G31" s="2" t="str">
        <x:v>原报非零值</x:v>
      </x:c>
      <x:c r="H31" s="2" t="str">
        <x:v>未披露</x:v>
      </x:c>
      <x:c r="I31" s="2" t="str">
        <x:v>未取得月度量</x:v>
      </x:c>
    </x:row>
    <x:row r="32" ht="25" customHeight="1">
      <x:c r="A32" s="7" t="d">
        <x:v>2003-07-01T00:00:00.000Z</x:v>
      </x:c>
      <x:c r="B32" s="9" t="n">
        <x:f>'原始月度'!C32*1000</x:f>
        <x:v>2917200</x:v>
      </x:c>
      <x:c r="C32" s="9" t="n">
        <x:f>IF('原始月度'!D32=0,"",'原始月度'!D32*1000)</x:f>
        <x:v>1621300</x:v>
      </x:c>
      <x:c r="D32" s="9" t="n">
        <x:f>'原始月度'!E32*1000</x:f>
        <x:v>3596200</x:v>
      </x:c>
      <x:c r="E32" s="9" t="str">
        <x:f>IF(ISNUMBER('原始月度'!F32),'原始月度'!F32*1000,"")</x:f>
      </x:c>
      <x:c r="F32" s="9" t="str">
        <x:f>IF(ISNUMBER('原始月度'!G32),'原始月度'!G32,"")</x:f>
      </x:c>
      <x:c r="G32" s="6" t="str">
        <x:v>原报非零值</x:v>
      </x:c>
      <x:c r="H32" s="6" t="str">
        <x:v>未披露</x:v>
      </x:c>
      <x:c r="I32" s="6" t="str">
        <x:v>未取得月度量</x:v>
      </x:c>
    </x:row>
    <x:row r="33" ht="25" customHeight="1">
      <x:c r="A33" s="8" t="d">
        <x:v>2003-08-01T00:00:00.000Z</x:v>
      </x:c>
      <x:c r="B33" s="10" t="n">
        <x:f>'原始月度'!C33*1000</x:f>
        <x:v>6167500</x:v>
      </x:c>
      <x:c r="C33" s="10" t="n">
        <x:f>IF('原始月度'!D33=0,"",'原始月度'!D33*1000)</x:f>
        <x:v>3948580</x:v>
      </x:c>
      <x:c r="D33" s="10" t="n">
        <x:f>'原始月度'!E33*1000</x:f>
        <x:v>4643300</x:v>
      </x:c>
      <x:c r="E33" s="10" t="str">
        <x:f>IF(ISNUMBER('原始月度'!F33),'原始月度'!F33*1000,"")</x:f>
      </x:c>
      <x:c r="F33" s="10" t="str">
        <x:f>IF(ISNUMBER('原始月度'!G33),'原始月度'!G33,"")</x:f>
      </x:c>
      <x:c r="G33" s="2" t="str">
        <x:v>原报非零值</x:v>
      </x:c>
      <x:c r="H33" s="2" t="str">
        <x:v>未披露</x:v>
      </x:c>
      <x:c r="I33" s="2" t="str">
        <x:v>未取得月度量</x:v>
      </x:c>
    </x:row>
    <x:row r="34" ht="25" customHeight="1">
      <x:c r="A34" s="7" t="d">
        <x:v>2003-09-01T00:00:00.000Z</x:v>
      </x:c>
      <x:c r="B34" s="9" t="n">
        <x:f>'原始月度'!C34*1000</x:f>
        <x:v>8473900</x:v>
      </x:c>
      <x:c r="C34" s="9" t="n">
        <x:f>IF('原始月度'!D34=0,"",'原始月度'!D34*1000)</x:f>
        <x:v>6367490</x:v>
      </x:c>
      <x:c r="D34" s="9" t="n">
        <x:f>'原始月度'!E34*1000</x:f>
        <x:v>7115800</x:v>
      </x:c>
      <x:c r="E34" s="9" t="str">
        <x:f>IF(ISNUMBER('原始月度'!F34),'原始月度'!F34*1000,"")</x:f>
      </x:c>
      <x:c r="F34" s="9" t="str">
        <x:f>IF(ISNUMBER('原始月度'!G34),'原始月度'!G34,"")</x:f>
      </x:c>
      <x:c r="G34" s="6" t="str">
        <x:v>原报非零值</x:v>
      </x:c>
      <x:c r="H34" s="6" t="str">
        <x:v>未披露</x:v>
      </x:c>
      <x:c r="I34" s="6" t="str">
        <x:v>未取得月度量</x:v>
      </x:c>
    </x:row>
    <x:row r="35" ht="25" customHeight="1">
      <x:c r="A35" s="8" t="d">
        <x:v>2003-10-01T00:00:00.000Z</x:v>
      </x:c>
      <x:c r="B35" s="10" t="n">
        <x:f>'原始月度'!C35*1000</x:f>
        <x:v>7715500</x:v>
      </x:c>
      <x:c r="C35" s="10" t="n">
        <x:f>IF('原始月度'!D35=0,"",'原始月度'!D35*1000)</x:f>
        <x:v>3876780</x:v>
      </x:c>
      <x:c r="D35" s="10" t="n">
        <x:f>'原始月度'!E35*1000</x:f>
        <x:v>4384600</x:v>
      </x:c>
      <x:c r="E35" s="10" t="str">
        <x:f>IF(ISNUMBER('原始月度'!F35),'原始月度'!F35*1000,"")</x:f>
      </x:c>
      <x:c r="F35" s="10" t="str">
        <x:f>IF(ISNUMBER('原始月度'!G35),'原始月度'!G35,"")</x:f>
      </x:c>
      <x:c r="G35" s="2" t="str">
        <x:v>原报非零值</x:v>
      </x:c>
      <x:c r="H35" s="2" t="str">
        <x:v>未披露</x:v>
      </x:c>
      <x:c r="I35" s="2" t="str">
        <x:v>未取得月度量</x:v>
      </x:c>
    </x:row>
    <x:row r="36" ht="25" customHeight="1">
      <x:c r="A36" s="7" t="d">
        <x:v>2003-11-01T00:00:00.000Z</x:v>
      </x:c>
      <x:c r="B36" s="9" t="n">
        <x:f>'原始月度'!C36*1000</x:f>
        <x:v>7307300</x:v>
      </x:c>
      <x:c r="C36" s="9" t="n">
        <x:f>IF('原始月度'!D36=0,"",'原始月度'!D36*1000)</x:f>
        <x:v>6709930</x:v>
      </x:c>
      <x:c r="D36" s="9" t="n">
        <x:f>'原始月度'!E36*1000</x:f>
        <x:v>7083400</x:v>
      </x:c>
      <x:c r="E36" s="9" t="str">
        <x:f>IF(ISNUMBER('原始月度'!F36),'原始月度'!F36*1000,"")</x:f>
      </x:c>
      <x:c r="F36" s="9" t="str">
        <x:f>IF(ISNUMBER('原始月度'!G36),'原始月度'!G36,"")</x:f>
      </x:c>
      <x:c r="G36" s="6" t="str">
        <x:v>原报非零值</x:v>
      </x:c>
      <x:c r="H36" s="6" t="str">
        <x:v>未披露</x:v>
      </x:c>
      <x:c r="I36" s="6" t="str">
        <x:v>未取得月度量</x:v>
      </x:c>
    </x:row>
    <x:row r="37" ht="25" customHeight="1">
      <x:c r="A37" s="8" t="d">
        <x:v>2003-12-01T00:00:00.000Z</x:v>
      </x:c>
      <x:c r="B37" s="10" t="n">
        <x:f>'原始月度'!C37*1000</x:f>
        <x:v>3372800</x:v>
      </x:c>
      <x:c r="C37" s="10" t="n">
        <x:f>IF('原始月度'!D37=0,"",'原始月度'!D37*1000)</x:f>
        <x:v>2003150</x:v>
      </x:c>
      <x:c r="D37" s="10" t="n">
        <x:f>'原始月度'!E37*1000</x:f>
        <x:v>3542700</x:v>
      </x:c>
      <x:c r="E37" s="10" t="str">
        <x:f>IF(ISNUMBER('原始月度'!F37),'原始月度'!F37*1000,"")</x:f>
      </x:c>
      <x:c r="F37" s="10" t="str">
        <x:f>IF(ISNUMBER('原始月度'!G37),'原始月度'!G37,"")</x:f>
      </x:c>
      <x:c r="G37" s="2" t="str">
        <x:v>原报非零值</x:v>
      </x:c>
      <x:c r="H37" s="2" t="str">
        <x:v>未披露</x:v>
      </x:c>
      <x:c r="I37" s="2" t="str">
        <x:v>未取得月度量</x:v>
      </x:c>
    </x:row>
    <x:row r="38" ht="25" customHeight="1">
      <x:c r="A38" s="7" t="d">
        <x:v>2004-01-01T00:00:00.000Z</x:v>
      </x:c>
      <x:c r="B38" s="9" t="n">
        <x:f>'原始月度'!C38*1000</x:f>
        <x:v>2309800</x:v>
      </x:c>
      <x:c r="C38" s="9" t="n">
        <x:f>IF('原始月度'!D38=0,"",'原始月度'!D38*1000)</x:f>
        <x:v>3932020</x:v>
      </x:c>
      <x:c r="D38" s="9" t="n">
        <x:f>'原始月度'!E38*1000</x:f>
        <x:v>4815500</x:v>
      </x:c>
      <x:c r="E38" s="9" t="str">
        <x:f>IF(ISNUMBER('原始月度'!F38),'原始月度'!F38*1000,"")</x:f>
      </x:c>
      <x:c r="F38" s="9" t="str">
        <x:f>IF(ISNUMBER('原始月度'!G38),'原始月度'!G38,"")</x:f>
      </x:c>
      <x:c r="G38" s="6" t="str">
        <x:v>原报非零值</x:v>
      </x:c>
      <x:c r="H38" s="6" t="str">
        <x:v>未披露</x:v>
      </x:c>
      <x:c r="I38" s="6" t="str">
        <x:v>未取得月度量</x:v>
      </x:c>
    </x:row>
    <x:row r="39" ht="25" customHeight="1">
      <x:c r="A39" s="8" t="d">
        <x:v>2004-02-01T00:00:00.000Z</x:v>
      </x:c>
      <x:c r="B39" s="10" t="n">
        <x:f>'原始月度'!C39*1000</x:f>
        <x:v>2245900</x:v>
      </x:c>
      <x:c r="C39" s="10" t="n">
        <x:f>IF('原始月度'!D39=0,"",'原始月度'!D39*1000)</x:f>
        <x:v>2993410</x:v>
      </x:c>
      <x:c r="D39" s="10" t="n">
        <x:f>'原始月度'!E39*1000</x:f>
        <x:v>5635600</x:v>
      </x:c>
      <x:c r="E39" s="10" t="str">
        <x:f>IF(ISNUMBER('原始月度'!F39),'原始月度'!F39*1000,"")</x:f>
      </x:c>
      <x:c r="F39" s="10" t="str">
        <x:f>IF(ISNUMBER('原始月度'!G39),'原始月度'!G39,"")</x:f>
      </x:c>
      <x:c r="G39" s="2" t="str">
        <x:v>原报非零值</x:v>
      </x:c>
      <x:c r="H39" s="2" t="str">
        <x:v>未披露</x:v>
      </x:c>
      <x:c r="I39" s="2" t="str">
        <x:v>未取得月度量</x:v>
      </x:c>
    </x:row>
    <x:row r="40" ht="25" customHeight="1">
      <x:c r="A40" s="7" t="d">
        <x:v>2004-03-01T00:00:00.000Z</x:v>
      </x:c>
      <x:c r="B40" s="9" t="n">
        <x:f>'原始月度'!C40*1000</x:f>
        <x:v>2543100</x:v>
      </x:c>
      <x:c r="C40" s="9" t="n">
        <x:f>IF('原始月度'!D40=0,"",'原始月度'!D40*1000)</x:f>
        <x:v>7387610</x:v>
      </x:c>
      <x:c r="D40" s="9" t="n">
        <x:f>'原始月度'!E40*1000</x:f>
        <x:v>10939700</x:v>
      </x:c>
      <x:c r="E40" s="9" t="str">
        <x:f>IF(ISNUMBER('原始月度'!F40),'原始月度'!F40*1000,"")</x:f>
      </x:c>
      <x:c r="F40" s="9" t="str">
        <x:f>IF(ISNUMBER('原始月度'!G40),'原始月度'!G40,"")</x:f>
      </x:c>
      <x:c r="G40" s="6" t="str">
        <x:v>原报非零值</x:v>
      </x:c>
      <x:c r="H40" s="6" t="str">
        <x:v>未披露</x:v>
      </x:c>
      <x:c r="I40" s="6" t="str">
        <x:v>未取得月度量</x:v>
      </x:c>
    </x:row>
    <x:row r="41" ht="25" customHeight="1">
      <x:c r="A41" s="8" t="d">
        <x:v>2004-04-01T00:00:00.000Z</x:v>
      </x:c>
      <x:c r="B41" s="10" t="n">
        <x:f>'原始月度'!C41*1000</x:f>
        <x:v>7485400</x:v>
      </x:c>
      <x:c r="C41" s="10" t="n">
        <x:f>IF('原始月度'!D41=0,"",'原始月度'!D41*1000)</x:f>
        <x:v>11278570</x:v>
      </x:c>
      <x:c r="D41" s="10" t="n">
        <x:f>'原始月度'!E41*1000</x:f>
        <x:v>13561500</x:v>
      </x:c>
      <x:c r="E41" s="10" t="str">
        <x:f>IF(ISNUMBER('原始月度'!F41),'原始月度'!F41*1000,"")</x:f>
      </x:c>
      <x:c r="F41" s="10" t="str">
        <x:f>IF(ISNUMBER('原始月度'!G41),'原始月度'!G41,"")</x:f>
      </x:c>
      <x:c r="G41" s="2" t="str">
        <x:v>原报非零值</x:v>
      </x:c>
      <x:c r="H41" s="2" t="str">
        <x:v>未披露</x:v>
      </x:c>
      <x:c r="I41" s="2" t="str">
        <x:v>未取得月度量</x:v>
      </x:c>
    </x:row>
    <x:row r="42" ht="25" customHeight="1">
      <x:c r="A42" s="7" t="d">
        <x:v>2004-05-01T00:00:00.000Z</x:v>
      </x:c>
      <x:c r="B42" s="9" t="n">
        <x:f>'原始月度'!C42*1000</x:f>
        <x:v>14009500</x:v>
      </x:c>
      <x:c r="C42" s="9" t="n">
        <x:f>IF('原始月度'!D42=0,"",'原始月度'!D42*1000)</x:f>
        <x:v>1560640</x:v>
      </x:c>
      <x:c r="D42" s="9" t="n">
        <x:f>'原始月度'!E42*1000</x:f>
        <x:v>4343300</x:v>
      </x:c>
      <x:c r="E42" s="9" t="str">
        <x:f>IF(ISNUMBER('原始月度'!F42),'原始月度'!F42*1000,"")</x:f>
      </x:c>
      <x:c r="F42" s="9" t="str">
        <x:f>IF(ISNUMBER('原始月度'!G42),'原始月度'!G42,"")</x:f>
      </x:c>
      <x:c r="G42" s="6" t="str">
        <x:v>原报非零值</x:v>
      </x:c>
      <x:c r="H42" s="6" t="str">
        <x:v>未披露</x:v>
      </x:c>
      <x:c r="I42" s="6" t="str">
        <x:v>未取得月度量</x:v>
      </x:c>
    </x:row>
    <x:row r="43" ht="25" customHeight="1">
      <x:c r="A43" s="8" t="d">
        <x:v>2004-06-01T00:00:00.000Z</x:v>
      </x:c>
      <x:c r="B43" s="10" t="n">
        <x:f>'原始月度'!C43*1000</x:f>
        <x:v>4185899.9999999995</x:v>
      </x:c>
      <x:c r="C43" s="10" t="n">
        <x:f>IF('原始月度'!D43=0,"",'原始月度'!D43*1000)</x:f>
        <x:v>5728620</x:v>
      </x:c>
      <x:c r="D43" s="10" t="n">
        <x:f>'原始月度'!E43*1000</x:f>
        <x:v>10431100</x:v>
      </x:c>
      <x:c r="E43" s="10" t="str">
        <x:f>IF(ISNUMBER('原始月度'!F43),'原始月度'!F43*1000,"")</x:f>
      </x:c>
      <x:c r="F43" s="10" t="str">
        <x:f>IF(ISNUMBER('原始月度'!G43),'原始月度'!G43,"")</x:f>
      </x:c>
      <x:c r="G43" s="2" t="str">
        <x:v>原报非零值</x:v>
      </x:c>
      <x:c r="H43" s="2" t="str">
        <x:v>未披露</x:v>
      </x:c>
      <x:c r="I43" s="2" t="str">
        <x:v>未取得月度量</x:v>
      </x:c>
    </x:row>
    <x:row r="44" ht="25" customHeight="1">
      <x:c r="A44" s="7" t="d">
        <x:v>2004-07-01T00:00:00.000Z</x:v>
      </x:c>
      <x:c r="B44" s="9" t="n">
        <x:f>'原始月度'!C44*1000</x:f>
        <x:v>2527400</x:v>
      </x:c>
      <x:c r="C44" s="9" t="n">
        <x:f>IF('原始月度'!D44=0,"",'原始月度'!D44*1000)</x:f>
        <x:v>6627350</x:v>
      </x:c>
      <x:c r="D44" s="9" t="n">
        <x:f>'原始月度'!E44*1000</x:f>
        <x:v>7560600</x:v>
      </x:c>
      <x:c r="E44" s="9" t="str">
        <x:f>IF(ISNUMBER('原始月度'!F44),'原始月度'!F44*1000,"")</x:f>
      </x:c>
      <x:c r="F44" s="9" t="str">
        <x:f>IF(ISNUMBER('原始月度'!G44),'原始月度'!G44,"")</x:f>
      </x:c>
      <x:c r="G44" s="6" t="str">
        <x:v>原报非零值</x:v>
      </x:c>
      <x:c r="H44" s="6" t="str">
        <x:v>未披露</x:v>
      </x:c>
      <x:c r="I44" s="6" t="str">
        <x:v>未取得月度量</x:v>
      </x:c>
    </x:row>
    <x:row r="45" ht="25" customHeight="1">
      <x:c r="A45" s="8" t="d">
        <x:v>2004-08-01T00:00:00.000Z</x:v>
      </x:c>
      <x:c r="B45" s="10" t="n">
        <x:f>'原始月度'!C45*1000</x:f>
        <x:v>5516800</x:v>
      </x:c>
      <x:c r="C45" s="10" t="n">
        <x:f>IF('原始月度'!D45=0,"",'原始月度'!D45*1000)</x:f>
        <x:v>7108540</x:v>
      </x:c>
      <x:c r="D45" s="10" t="n">
        <x:f>'原始月度'!E45*1000</x:f>
        <x:v>9383800</x:v>
      </x:c>
      <x:c r="E45" s="10" t="str">
        <x:f>IF(ISNUMBER('原始月度'!F45),'原始月度'!F45*1000,"")</x:f>
      </x:c>
      <x:c r="F45" s="10" t="str">
        <x:f>IF(ISNUMBER('原始月度'!G45),'原始月度'!G45,"")</x:f>
      </x:c>
      <x:c r="G45" s="2" t="str">
        <x:v>原报非零值</x:v>
      </x:c>
      <x:c r="H45" s="2" t="str">
        <x:v>未披露</x:v>
      </x:c>
      <x:c r="I45" s="2" t="str">
        <x:v>未取得月度量</x:v>
      </x:c>
    </x:row>
    <x:row r="46" ht="25" customHeight="1">
      <x:c r="A46" s="7" t="d">
        <x:v>2004-09-01T00:00:00.000Z</x:v>
      </x:c>
      <x:c r="B46" s="9" t="n">
        <x:f>'原始月度'!C46*1000</x:f>
        <x:v>4295500</x:v>
      </x:c>
      <x:c r="C46" s="9" t="n">
        <x:f>IF('原始月度'!D46=0,"",'原始月度'!D46*1000)</x:f>
        <x:v>4826020</x:v>
      </x:c>
      <x:c r="D46" s="9" t="n">
        <x:f>'原始月度'!E46*1000</x:f>
        <x:v>8862300</x:v>
      </x:c>
      <x:c r="E46" s="9" t="str">
        <x:f>IF(ISNUMBER('原始月度'!F46),'原始月度'!F46*1000,"")</x:f>
      </x:c>
      <x:c r="F46" s="9" t="str">
        <x:f>IF(ISNUMBER('原始月度'!G46),'原始月度'!G46,"")</x:f>
      </x:c>
      <x:c r="G46" s="6" t="str">
        <x:v>原报非零值</x:v>
      </x:c>
      <x:c r="H46" s="6" t="str">
        <x:v>未披露</x:v>
      </x:c>
      <x:c r="I46" s="6" t="str">
        <x:v>未取得月度量</x:v>
      </x:c>
    </x:row>
    <x:row r="47" ht="25" customHeight="1">
      <x:c r="A47" s="8" t="d">
        <x:v>2004-10-01T00:00:00.000Z</x:v>
      </x:c>
      <x:c r="B47" s="10" t="n">
        <x:f>'原始月度'!C47*1000</x:f>
        <x:v>3472200</x:v>
      </x:c>
      <x:c r="C47" s="10" t="n">
        <x:f>IF('原始月度'!D47=0,"",'原始月度'!D47*1000)</x:f>
        <x:v>8065430</x:v>
      </x:c>
      <x:c r="D47" s="10" t="n">
        <x:f>'原始月度'!E47*1000</x:f>
        <x:v>8978400</x:v>
      </x:c>
      <x:c r="E47" s="10" t="str">
        <x:f>IF(ISNUMBER('原始月度'!F47),'原始月度'!F47*1000,"")</x:f>
      </x:c>
      <x:c r="F47" s="10" t="str">
        <x:f>IF(ISNUMBER('原始月度'!G47),'原始月度'!G47,"")</x:f>
      </x:c>
      <x:c r="G47" s="2" t="str">
        <x:v>原报非零值</x:v>
      </x:c>
      <x:c r="H47" s="2" t="str">
        <x:v>未披露</x:v>
      </x:c>
      <x:c r="I47" s="2" t="str">
        <x:v>未取得月度量</x:v>
      </x:c>
    </x:row>
    <x:row r="48" ht="25" customHeight="1">
      <x:c r="A48" s="7" t="d">
        <x:v>2004-11-01T00:00:00.000Z</x:v>
      </x:c>
      <x:c r="B48" s="9" t="n">
        <x:f>'原始月度'!C48*1000</x:f>
        <x:v>3222200</x:v>
      </x:c>
      <x:c r="C48" s="9" t="n">
        <x:f>IF('原始月度'!D48=0,"",'原始月度'!D48*1000)</x:f>
        <x:v>2351910</x:v>
      </x:c>
      <x:c r="D48" s="9" t="n">
        <x:f>'原始月度'!E48*1000</x:f>
        <x:v>3492300</x:v>
      </x:c>
      <x:c r="E48" s="9" t="str">
        <x:f>IF(ISNUMBER('原始月度'!F48),'原始月度'!F48*1000,"")</x:f>
      </x:c>
      <x:c r="F48" s="9" t="str">
        <x:f>IF(ISNUMBER('原始月度'!G48),'原始月度'!G48,"")</x:f>
      </x:c>
      <x:c r="G48" s="6" t="str">
        <x:v>原报非零值</x:v>
      </x:c>
      <x:c r="H48" s="6" t="str">
        <x:v>未披露</x:v>
      </x:c>
      <x:c r="I48" s="6" t="str">
        <x:v>未取得月度量</x:v>
      </x:c>
    </x:row>
    <x:row r="49" ht="25" customHeight="1">
      <x:c r="A49" s="8" t="d">
        <x:v>2004-12-01T00:00:00.000Z</x:v>
      </x:c>
      <x:c r="B49" s="10" t="n">
        <x:f>'原始月度'!C49*1000</x:f>
        <x:v>5244800</x:v>
      </x:c>
      <x:c r="C49" s="10" t="n">
        <x:f>IF('原始月度'!D49=0,"",'原始月度'!D49*1000)</x:f>
        <x:v>6505460</x:v>
      </x:c>
      <x:c r="D49" s="10" t="n">
        <x:f>'原始月度'!E49*1000</x:f>
        <x:v>6861500</x:v>
      </x:c>
      <x:c r="E49" s="10" t="str">
        <x:f>IF(ISNUMBER('原始月度'!F49),'原始月度'!F49*1000,"")</x:f>
      </x:c>
      <x:c r="F49" s="10" t="str">
        <x:f>IF(ISNUMBER('原始月度'!G49),'原始月度'!G49,"")</x:f>
      </x:c>
      <x:c r="G49" s="2" t="str">
        <x:v>原报非零值</x:v>
      </x:c>
      <x:c r="H49" s="2" t="str">
        <x:v>未披露</x:v>
      </x:c>
      <x:c r="I49" s="2" t="str">
        <x:v>未取得月度量</x:v>
      </x:c>
    </x:row>
    <x:row r="50" ht="25" customHeight="1">
      <x:c r="A50" s="7" t="d">
        <x:v>2005-01-01T00:00:00.000Z</x:v>
      </x:c>
      <x:c r="B50" s="9" t="n">
        <x:f>'原始月度'!C50*1000</x:f>
        <x:v>1455700</x:v>
      </x:c>
      <x:c r="C50" s="9" t="n">
        <x:f>IF('原始月度'!D50=0,"",'原始月度'!D50*1000)</x:f>
        <x:v>5042780</x:v>
      </x:c>
      <x:c r="D50" s="9" t="n">
        <x:f>'原始月度'!E50*1000</x:f>
        <x:v>9190100</x:v>
      </x:c>
      <x:c r="E50" s="9" t="str">
        <x:f>IF(ISNUMBER('原始月度'!F50),'原始月度'!F50*1000,"")</x:f>
      </x:c>
      <x:c r="F50" s="9" t="str">
        <x:f>IF(ISNUMBER('原始月度'!G50),'原始月度'!G50,"")</x:f>
      </x:c>
      <x:c r="G50" s="6" t="str">
        <x:v>原报非零值</x:v>
      </x:c>
      <x:c r="H50" s="6" t="str">
        <x:v>未披露</x:v>
      </x:c>
      <x:c r="I50" s="6" t="str">
        <x:v>未取得月度量</x:v>
      </x:c>
    </x:row>
    <x:row r="51" ht="25" customHeight="1">
      <x:c r="A51" s="8" t="d">
        <x:v>2005-02-01T00:00:00.000Z</x:v>
      </x:c>
      <x:c r="B51" s="10" t="n">
        <x:f>'原始月度'!C51*1000</x:f>
        <x:v>5332100</x:v>
      </x:c>
      <x:c r="C51" s="10" t="n">
        <x:f>IF('原始月度'!D51=0,"",'原始月度'!D51*1000)</x:f>
        <x:v>3623610</x:v>
      </x:c>
      <x:c r="D51" s="10" t="n">
        <x:f>'原始月度'!E51*1000</x:f>
        <x:v>4532800</x:v>
      </x:c>
      <x:c r="E51" s="10" t="str">
        <x:f>IF(ISNUMBER('原始月度'!F51),'原始月度'!F51*1000,"")</x:f>
      </x:c>
      <x:c r="F51" s="10" t="str">
        <x:f>IF(ISNUMBER('原始月度'!G51),'原始月度'!G51,"")</x:f>
      </x:c>
      <x:c r="G51" s="2" t="str">
        <x:v>原报非零值</x:v>
      </x:c>
      <x:c r="H51" s="2" t="str">
        <x:v>未披露</x:v>
      </x:c>
      <x:c r="I51" s="2" t="str">
        <x:v>未取得月度量</x:v>
      </x:c>
    </x:row>
    <x:row r="52" ht="25" customHeight="1">
      <x:c r="A52" s="7" t="d">
        <x:v>2005-03-01T00:00:00.000Z</x:v>
      </x:c>
      <x:c r="B52" s="9" t="n">
        <x:f>'原始月度'!C52*1000</x:f>
        <x:v>5044300</x:v>
      </x:c>
      <x:c r="C52" s="9" t="n">
        <x:f>IF('原始月度'!D52=0,"",'原始月度'!D52*1000)</x:f>
        <x:v>12545820</x:v>
      </x:c>
      <x:c r="D52" s="9" t="n">
        <x:f>'原始月度'!E52*1000</x:f>
        <x:v>14319700</x:v>
      </x:c>
      <x:c r="E52" s="9" t="str">
        <x:f>IF(ISNUMBER('原始月度'!F52),'原始月度'!F52*1000,"")</x:f>
      </x:c>
      <x:c r="F52" s="9" t="str">
        <x:f>IF(ISNUMBER('原始月度'!G52),'原始月度'!G52,"")</x:f>
      </x:c>
      <x:c r="G52" s="6" t="str">
        <x:v>原报非零值</x:v>
      </x:c>
      <x:c r="H52" s="6" t="str">
        <x:v>未披露</x:v>
      </x:c>
      <x:c r="I52" s="6" t="str">
        <x:v>未取得月度量</x:v>
      </x:c>
    </x:row>
    <x:row r="53" ht="25" customHeight="1">
      <x:c r="A53" s="8" t="d">
        <x:v>2005-04-01T00:00:00.000Z</x:v>
      </x:c>
      <x:c r="B53" s="10" t="n">
        <x:f>'原始月度'!C53*1000</x:f>
        <x:v>565600</x:v>
      </x:c>
      <x:c r="C53" s="10" t="n">
        <x:f>IF('原始月度'!D53=0,"",'原始月度'!D53*1000)</x:f>
        <x:v>6110710</x:v>
      </x:c>
      <x:c r="D53" s="10" t="n">
        <x:f>'原始月度'!E53*1000</x:f>
        <x:v>9459600</x:v>
      </x:c>
      <x:c r="E53" s="10" t="str">
        <x:f>IF(ISNUMBER('原始月度'!F53),'原始月度'!F53*1000,"")</x:f>
      </x:c>
      <x:c r="F53" s="10" t="str">
        <x:f>IF(ISNUMBER('原始月度'!G53),'原始月度'!G53,"")</x:f>
      </x:c>
      <x:c r="G53" s="2" t="str">
        <x:v>原报非零值</x:v>
      </x:c>
      <x:c r="H53" s="2" t="str">
        <x:v>未披露</x:v>
      </x:c>
      <x:c r="I53" s="2" t="str">
        <x:v>未取得月度量</x:v>
      </x:c>
    </x:row>
    <x:row r="54" ht="25" customHeight="1">
      <x:c r="A54" s="7" t="d">
        <x:v>2005-05-01T00:00:00.000Z</x:v>
      </x:c>
      <x:c r="B54" s="9" t="n">
        <x:f>'原始月度'!C54*1000</x:f>
        <x:v>5154200</x:v>
      </x:c>
      <x:c r="C54" s="9" t="n">
        <x:f>IF('原始月度'!D54=0,"",'原始月度'!D54*1000)</x:f>
        <x:v>6833800</x:v>
      </x:c>
      <x:c r="D54" s="9" t="n">
        <x:f>'原始月度'!E54*1000</x:f>
        <x:v>10178700</x:v>
      </x:c>
      <x:c r="E54" s="9" t="str">
        <x:f>IF(ISNUMBER('原始月度'!F54),'原始月度'!F54*1000,"")</x:f>
      </x:c>
      <x:c r="F54" s="9" t="str">
        <x:f>IF(ISNUMBER('原始月度'!G54),'原始月度'!G54,"")</x:f>
      </x:c>
      <x:c r="G54" s="6" t="str">
        <x:v>原报非零值</x:v>
      </x:c>
      <x:c r="H54" s="6" t="str">
        <x:v>未披露</x:v>
      </x:c>
      <x:c r="I54" s="6" t="str">
        <x:v>未取得月度量</x:v>
      </x:c>
    </x:row>
    <x:row r="55" ht="25" customHeight="1">
      <x:c r="A55" s="8" t="d">
        <x:v>2005-06-01T00:00:00.000Z</x:v>
      </x:c>
      <x:c r="B55" s="10" t="n">
        <x:f>'原始月度'!C55*1000</x:f>
        <x:v>5762000</x:v>
      </x:c>
      <x:c r="C55" s="10" t="n">
        <x:f>IF('原始月度'!D55=0,"",'原始月度'!D55*1000)</x:f>
        <x:v>5987060</x:v>
      </x:c>
      <x:c r="D55" s="10" t="n">
        <x:f>'原始月度'!E55*1000</x:f>
        <x:v>11362500</x:v>
      </x:c>
      <x:c r="E55" s="10" t="str">
        <x:f>IF(ISNUMBER('原始月度'!F55),'原始月度'!F55*1000,"")</x:f>
      </x:c>
      <x:c r="F55" s="10" t="str">
        <x:f>IF(ISNUMBER('原始月度'!G55),'原始月度'!G55,"")</x:f>
      </x:c>
      <x:c r="G55" s="2" t="str">
        <x:v>原报非零值</x:v>
      </x:c>
      <x:c r="H55" s="2" t="str">
        <x:v>未披露</x:v>
      </x:c>
      <x:c r="I55" s="2" t="str">
        <x:v>未取得月度量</x:v>
      </x:c>
    </x:row>
    <x:row r="56" ht="25" customHeight="1">
      <x:c r="A56" s="7" t="d">
        <x:v>2005-07-01T00:00:00.000Z</x:v>
      </x:c>
      <x:c r="B56" s="9" t="n">
        <x:f>'原始月度'!C56*1000</x:f>
        <x:v>9527800</x:v>
      </x:c>
      <x:c r="C56" s="9" t="n">
        <x:f>IF('原始月度'!D56=0,"",'原始月度'!D56*1000)</x:f>
        <x:v>7964470</x:v>
      </x:c>
      <x:c r="D56" s="9" t="n">
        <x:f>'原始月度'!E56*1000</x:f>
        <x:v>8844900</x:v>
      </x:c>
      <x:c r="E56" s="9" t="str">
        <x:f>IF(ISNUMBER('原始月度'!F56),'原始月度'!F56*1000,"")</x:f>
      </x:c>
      <x:c r="F56" s="9" t="str">
        <x:f>IF(ISNUMBER('原始月度'!G56),'原始月度'!G56,"")</x:f>
      </x:c>
      <x:c r="G56" s="6" t="str">
        <x:v>原报非零值</x:v>
      </x:c>
      <x:c r="H56" s="6" t="str">
        <x:v>未披露</x:v>
      </x:c>
      <x:c r="I56" s="6" t="str">
        <x:v>未取得月度量</x:v>
      </x:c>
    </x:row>
    <x:row r="57" ht="25" customHeight="1">
      <x:c r="A57" s="8" t="d">
        <x:v>2005-08-01T00:00:00.000Z</x:v>
      </x:c>
      <x:c r="B57" s="10" t="n">
        <x:f>'原始月度'!C57*1000</x:f>
        <x:v>3088900</x:v>
      </x:c>
      <x:c r="C57" s="10" t="n">
        <x:f>IF('原始月度'!D57=0,"",'原始月度'!D57*1000)</x:f>
        <x:v>11386640</x:v>
      </x:c>
      <x:c r="D57" s="10" t="n">
        <x:f>'原始月度'!E57*1000</x:f>
        <x:v>11457100</x:v>
      </x:c>
      <x:c r="E57" s="10" t="str">
        <x:f>IF(ISNUMBER('原始月度'!F57),'原始月度'!F57*1000,"")</x:f>
      </x:c>
      <x:c r="F57" s="10" t="str">
        <x:f>IF(ISNUMBER('原始月度'!G57),'原始月度'!G57,"")</x:f>
      </x:c>
      <x:c r="G57" s="2" t="str">
        <x:v>原报非零值</x:v>
      </x:c>
      <x:c r="H57" s="2" t="str">
        <x:v>未披露</x:v>
      </x:c>
      <x:c r="I57" s="2" t="str">
        <x:v>未取得月度量</x:v>
      </x:c>
    </x:row>
    <x:row r="58" ht="25" customHeight="1">
      <x:c r="A58" s="7" t="d">
        <x:v>2005-09-01T00:00:00.000Z</x:v>
      </x:c>
      <x:c r="B58" s="9" t="n">
        <x:f>'原始月度'!C58*1000</x:f>
        <x:v>4809400</x:v>
      </x:c>
      <x:c r="C58" s="9" t="n">
        <x:f>IF('原始月度'!D58=0,"",'原始月度'!D58*1000)</x:f>
        <x:v>7084340</x:v>
      </x:c>
      <x:c r="D58" s="9" t="n">
        <x:f>'原始月度'!E58*1000</x:f>
        <x:v>10482100</x:v>
      </x:c>
      <x:c r="E58" s="9" t="str">
        <x:f>IF(ISNUMBER('原始月度'!F58),'原始月度'!F58*1000,"")</x:f>
      </x:c>
      <x:c r="F58" s="9" t="str">
        <x:f>IF(ISNUMBER('原始月度'!G58),'原始月度'!G58,"")</x:f>
      </x:c>
      <x:c r="G58" s="6" t="str">
        <x:v>原报非零值</x:v>
      </x:c>
      <x:c r="H58" s="6" t="str">
        <x:v>未披露</x:v>
      </x:c>
      <x:c r="I58" s="6" t="str">
        <x:v>未取得月度量</x:v>
      </x:c>
    </x:row>
    <x:row r="59" ht="25" customHeight="1">
      <x:c r="A59" s="8" t="d">
        <x:v>2005-10-01T00:00:00.000Z</x:v>
      </x:c>
      <x:c r="B59" s="10" t="n">
        <x:f>'原始月度'!C59*1000</x:f>
        <x:v>3808400</x:v>
      </x:c>
      <x:c r="C59" s="10" t="n">
        <x:f>IF('原始月度'!D59=0,"",'原始月度'!D59*1000)</x:f>
        <x:v>8883950</x:v>
      </x:c>
      <x:c r="D59" s="10" t="n">
        <x:f>'原始月度'!E59*1000</x:f>
        <x:v>12408800</x:v>
      </x:c>
      <x:c r="E59" s="10" t="str">
        <x:f>IF(ISNUMBER('原始月度'!F59),'原始月度'!F59*1000,"")</x:f>
      </x:c>
      <x:c r="F59" s="10" t="str">
        <x:f>IF(ISNUMBER('原始月度'!G59),'原始月度'!G59,"")</x:f>
      </x:c>
      <x:c r="G59" s="2" t="str">
        <x:v>原报非零值</x:v>
      </x:c>
      <x:c r="H59" s="2" t="str">
        <x:v>未披露</x:v>
      </x:c>
      <x:c r="I59" s="2" t="str">
        <x:v>未取得月度量</x:v>
      </x:c>
    </x:row>
    <x:row r="60" ht="25" customHeight="1">
      <x:c r="A60" s="7" t="d">
        <x:v>2005-11-01T00:00:00.000Z</x:v>
      </x:c>
      <x:c r="B60" s="9" t="n">
        <x:f>'原始月度'!C60*1000</x:f>
        <x:v>5312300</x:v>
      </x:c>
      <x:c r="C60" s="9" t="n">
        <x:f>IF('原始月度'!D60=0,"",'原始月度'!D60*1000)</x:f>
        <x:v>3820360</x:v>
      </x:c>
      <x:c r="D60" s="9" t="n">
        <x:f>'原始月度'!E60*1000</x:f>
        <x:v>4374400</x:v>
      </x:c>
      <x:c r="E60" s="9" t="str">
        <x:f>IF(ISNUMBER('原始月度'!F60),'原始月度'!F60*1000,"")</x:f>
      </x:c>
      <x:c r="F60" s="9" t="str">
        <x:f>IF(ISNUMBER('原始月度'!G60),'原始月度'!G60,"")</x:f>
      </x:c>
      <x:c r="G60" s="6" t="str">
        <x:v>原报非零值</x:v>
      </x:c>
      <x:c r="H60" s="6" t="str">
        <x:v>未披露</x:v>
      </x:c>
      <x:c r="I60" s="6" t="str">
        <x:v>未取得月度量</x:v>
      </x:c>
    </x:row>
    <x:row r="61" ht="25" customHeight="1">
      <x:c r="A61" s="8" t="d">
        <x:v>2005-12-01T00:00:00.000Z</x:v>
      </x:c>
      <x:c r="B61" s="10" t="n">
        <x:f>'原始月度'!C61*1000</x:f>
        <x:v>3254600</x:v>
      </x:c>
      <x:c r="C61" s="10" t="n">
        <x:f>IF('原始月度'!D61=0,"",'原始月度'!D61*1000)</x:f>
        <x:v>6139830</x:v>
      </x:c>
      <x:c r="D61" s="10" t="n">
        <x:f>'原始月度'!E61*1000</x:f>
        <x:v>8986300</x:v>
      </x:c>
      <x:c r="E61" s="10" t="str">
        <x:f>IF(ISNUMBER('原始月度'!F61),'原始月度'!F61*1000,"")</x:f>
      </x:c>
      <x:c r="F61" s="10" t="str">
        <x:f>IF(ISNUMBER('原始月度'!G61),'原始月度'!G61,"")</x:f>
      </x:c>
      <x:c r="G61" s="2" t="str">
        <x:v>原报非零值</x:v>
      </x:c>
      <x:c r="H61" s="2" t="str">
        <x:v>未披露</x:v>
      </x:c>
      <x:c r="I61" s="2" t="str">
        <x:v>未取得月度量</x:v>
      </x:c>
    </x:row>
    <x:row r="62" ht="25" customHeight="1">
      <x:c r="A62" s="7" t="d">
        <x:v>2006-01-01T00:00:00.000Z</x:v>
      </x:c>
      <x:c r="B62" s="9" t="n">
        <x:f>'原始月度'!C62*1000</x:f>
        <x:v>5481000</x:v>
      </x:c>
      <x:c r="C62" s="9" t="n">
        <x:f>IF('原始月度'!D62=0,"",'原始月度'!D62*1000)</x:f>
        <x:v>12797170</x:v>
      </x:c>
      <x:c r="D62" s="9" t="n">
        <x:f>'原始月度'!E62*1000</x:f>
        <x:v>12855000</x:v>
      </x:c>
      <x:c r="E62" s="9" t="str">
        <x:f>IF(ISNUMBER('原始月度'!F62),'原始月度'!F62*1000,"")</x:f>
      </x:c>
      <x:c r="F62" s="9" t="str">
        <x:f>IF(ISNUMBER('原始月度'!G62),'原始月度'!G62,"")</x:f>
      </x:c>
      <x:c r="G62" s="6" t="str">
        <x:v>原报非零值</x:v>
      </x:c>
      <x:c r="H62" s="6" t="str">
        <x:v>未披露</x:v>
      </x:c>
      <x:c r="I62" s="6" t="str">
        <x:v>未取得月度量</x:v>
      </x:c>
    </x:row>
    <x:row r="63" ht="25" customHeight="1">
      <x:c r="A63" s="8" t="d">
        <x:v>2006-02-01T00:00:00.000Z</x:v>
      </x:c>
      <x:c r="B63" s="10" t="n">
        <x:f>'原始月度'!C63*1000</x:f>
        <x:v>4224600</x:v>
      </x:c>
      <x:c r="C63" s="10" t="n">
        <x:f>IF('原始月度'!D63=0,"",'原始月度'!D63*1000)</x:f>
        <x:v>4515650</x:v>
      </x:c>
      <x:c r="D63" s="10" t="n">
        <x:f>'原始月度'!E63*1000</x:f>
        <x:v>4603600</x:v>
      </x:c>
      <x:c r="E63" s="10" t="str">
        <x:f>IF(ISNUMBER('原始月度'!F63),'原始月度'!F63*1000,"")</x:f>
      </x:c>
      <x:c r="F63" s="10" t="str">
        <x:f>IF(ISNUMBER('原始月度'!G63),'原始月度'!G63,"")</x:f>
      </x:c>
      <x:c r="G63" s="2" t="str">
        <x:v>原报非零值</x:v>
      </x:c>
      <x:c r="H63" s="2" t="str">
        <x:v>未披露</x:v>
      </x:c>
      <x:c r="I63" s="2" t="str">
        <x:v>未取得月度量</x:v>
      </x:c>
    </x:row>
    <x:row r="64" ht="25" customHeight="1">
      <x:c r="A64" s="7" t="d">
        <x:v>2006-03-01T00:00:00.000Z</x:v>
      </x:c>
      <x:c r="B64" s="9" t="n">
        <x:f>'原始月度'!C64*1000</x:f>
        <x:v>2474200</x:v>
      </x:c>
      <x:c r="C64" s="9" t="n">
        <x:f>IF('原始月度'!D64=0,"",'原始月度'!D64*1000)</x:f>
        <x:v>13365300</x:v>
      </x:c>
      <x:c r="D64" s="9" t="n">
        <x:f>'原始月度'!E64*1000</x:f>
        <x:v>16397300</x:v>
      </x:c>
      <x:c r="E64" s="9" t="str">
        <x:f>IF(ISNUMBER('原始月度'!F64),'原始月度'!F64*1000,"")</x:f>
      </x:c>
      <x:c r="F64" s="9" t="str">
        <x:f>IF(ISNUMBER('原始月度'!G64),'原始月度'!G64,"")</x:f>
      </x:c>
      <x:c r="G64" s="6" t="str">
        <x:v>原报非零值</x:v>
      </x:c>
      <x:c r="H64" s="6" t="str">
        <x:v>未披露</x:v>
      </x:c>
      <x:c r="I64" s="6" t="str">
        <x:v>未取得月度量</x:v>
      </x:c>
    </x:row>
    <x:row r="65" ht="25" customHeight="1">
      <x:c r="A65" s="8" t="d">
        <x:v>2006-04-01T00:00:00.000Z</x:v>
      </x:c>
      <x:c r="B65" s="10" t="n">
        <x:f>'原始月度'!C65*1000</x:f>
        <x:v>1215300</x:v>
      </x:c>
      <x:c r="C65" s="10" t="n">
        <x:f>IF('原始月度'!D65=0,"",'原始月度'!D65*1000)</x:f>
        <x:v>15885140</x:v>
      </x:c>
      <x:c r="D65" s="10" t="n">
        <x:f>'原始月度'!E65*1000</x:f>
        <x:v>15924300</x:v>
      </x:c>
      <x:c r="E65" s="10" t="str">
        <x:f>IF(ISNUMBER('原始月度'!F65),'原始月度'!F65*1000,"")</x:f>
      </x:c>
      <x:c r="F65" s="10" t="str">
        <x:f>IF(ISNUMBER('原始月度'!G65),'原始月度'!G65,"")</x:f>
      </x:c>
      <x:c r="G65" s="2" t="str">
        <x:v>原报非零值</x:v>
      </x:c>
      <x:c r="H65" s="2" t="str">
        <x:v>未披露</x:v>
      </x:c>
      <x:c r="I65" s="2" t="str">
        <x:v>未取得月度量</x:v>
      </x:c>
    </x:row>
    <x:row r="66" ht="25" customHeight="1">
      <x:c r="A66" s="7" t="d">
        <x:v>2006-05-01T00:00:00.000Z</x:v>
      </x:c>
      <x:c r="B66" s="9" t="n">
        <x:f>'原始月度'!C66*1000</x:f>
        <x:v>6899000</x:v>
      </x:c>
      <x:c r="C66" s="9" t="n">
        <x:f>IF('原始月度'!D66=0,"",'原始月度'!D66*1000)</x:f>
        <x:v>6619200</x:v>
      </x:c>
      <x:c r="D66" s="9" t="n">
        <x:f>'原始月度'!E66*1000</x:f>
        <x:v>9600800</x:v>
      </x:c>
      <x:c r="E66" s="9" t="str">
        <x:f>IF(ISNUMBER('原始月度'!F66),'原始月度'!F66*1000,"")</x:f>
      </x:c>
      <x:c r="F66" s="9" t="str">
        <x:f>IF(ISNUMBER('原始月度'!G66),'原始月度'!G66,"")</x:f>
      </x:c>
      <x:c r="G66" s="6" t="str">
        <x:v>原报非零值</x:v>
      </x:c>
      <x:c r="H66" s="6" t="str">
        <x:v>未披露</x:v>
      </x:c>
      <x:c r="I66" s="6" t="str">
        <x:v>未取得月度量</x:v>
      </x:c>
    </x:row>
    <x:row r="67" ht="25" customHeight="1">
      <x:c r="A67" s="8" t="d">
        <x:v>2006-06-01T00:00:00.000Z</x:v>
      </x:c>
      <x:c r="B67" s="10" t="n">
        <x:f>'原始月度'!C67*1000</x:f>
        <x:v>6257900</x:v>
      </x:c>
      <x:c r="C67" s="10" t="n">
        <x:f>IF('原始月度'!D67=0,"",'原始月度'!D67*1000)</x:f>
        <x:v>13314530</x:v>
      </x:c>
      <x:c r="D67" s="10" t="n">
        <x:f>'原始月度'!E67*1000</x:f>
        <x:v>15397200</x:v>
      </x:c>
      <x:c r="E67" s="10" t="str">
        <x:f>IF(ISNUMBER('原始月度'!F67),'原始月度'!F67*1000,"")</x:f>
      </x:c>
      <x:c r="F67" s="10" t="str">
        <x:f>IF(ISNUMBER('原始月度'!G67),'原始月度'!G67,"")</x:f>
      </x:c>
      <x:c r="G67" s="2" t="str">
        <x:v>原报非零值</x:v>
      </x:c>
      <x:c r="H67" s="2" t="str">
        <x:v>未披露</x:v>
      </x:c>
      <x:c r="I67" s="2" t="str">
        <x:v>未取得月度量</x:v>
      </x:c>
    </x:row>
    <x:row r="68" ht="25" customHeight="1">
      <x:c r="A68" s="7" t="d">
        <x:v>2006-07-01T00:00:00.000Z</x:v>
      </x:c>
      <x:c r="B68" s="9" t="n">
        <x:f>'原始月度'!C68*1000</x:f>
        <x:v>8460300</x:v>
      </x:c>
      <x:c r="C68" s="9" t="n">
        <x:f>IF('原始月度'!D68=0,"",'原始月度'!D68*1000)</x:f>
        <x:v>5364870</x:v>
      </x:c>
      <x:c r="D68" s="9" t="n">
        <x:f>'原始月度'!E68*1000</x:f>
        <x:v>8043900</x:v>
      </x:c>
      <x:c r="E68" s="9" t="str">
        <x:f>IF(ISNUMBER('原始月度'!F68),'原始月度'!F68*1000,"")</x:f>
      </x:c>
      <x:c r="F68" s="9" t="str">
        <x:f>IF(ISNUMBER('原始月度'!G68),'原始月度'!G68,"")</x:f>
      </x:c>
      <x:c r="G68" s="6" t="str">
        <x:v>原报非零值</x:v>
      </x:c>
      <x:c r="H68" s="6" t="str">
        <x:v>未披露</x:v>
      </x:c>
      <x:c r="I68" s="6" t="str">
        <x:v>未取得月度量</x:v>
      </x:c>
    </x:row>
    <x:row r="69" ht="25" customHeight="1">
      <x:c r="A69" s="8" t="d">
        <x:v>2006-08-01T00:00:00.000Z</x:v>
      </x:c>
      <x:c r="B69" s="10" t="n">
        <x:f>'原始月度'!C69*1000</x:f>
        <x:v>6400300</x:v>
      </x:c>
      <x:c r="C69" s="10" t="n">
        <x:f>IF('原始月度'!D69=0,"",'原始月度'!D69*1000)</x:f>
        <x:v>14698630</x:v>
      </x:c>
      <x:c r="D69" s="10" t="n">
        <x:f>'原始月度'!E69*1000</x:f>
        <x:v>18429900</x:v>
      </x:c>
      <x:c r="E69" s="10" t="str">
        <x:f>IF(ISNUMBER('原始月度'!F69),'原始月度'!F69*1000,"")</x:f>
      </x:c>
      <x:c r="F69" s="10" t="str">
        <x:f>IF(ISNUMBER('原始月度'!G69),'原始月度'!G69,"")</x:f>
      </x:c>
      <x:c r="G69" s="2" t="str">
        <x:v>原报非零值</x:v>
      </x:c>
      <x:c r="H69" s="2" t="str">
        <x:v>未披露</x:v>
      </x:c>
      <x:c r="I69" s="2" t="str">
        <x:v>未取得月度量</x:v>
      </x:c>
    </x:row>
    <x:row r="70" ht="25" customHeight="1">
      <x:c r="A70" s="7" t="d">
        <x:v>2006-09-01T00:00:00.000Z</x:v>
      </x:c>
      <x:c r="B70" s="9" t="n">
        <x:f>'原始月度'!C70*1000</x:f>
        <x:v>3617500</x:v>
      </x:c>
      <x:c r="C70" s="9" t="n">
        <x:f>IF('原始月度'!D70=0,"",'原始月度'!D70*1000)</x:f>
        <x:v>9152340</x:v>
      </x:c>
      <x:c r="D70" s="9" t="n">
        <x:f>'原始月度'!E70*1000</x:f>
        <x:v>11487100</x:v>
      </x:c>
      <x:c r="E70" s="9" t="str">
        <x:f>IF(ISNUMBER('原始月度'!F70),'原始月度'!F70*1000,"")</x:f>
      </x:c>
      <x:c r="F70" s="9" t="str">
        <x:f>IF(ISNUMBER('原始月度'!G70),'原始月度'!G70,"")</x:f>
      </x:c>
      <x:c r="G70" s="6" t="str">
        <x:v>原报非零值</x:v>
      </x:c>
      <x:c r="H70" s="6" t="str">
        <x:v>未披露</x:v>
      </x:c>
      <x:c r="I70" s="6" t="str">
        <x:v>未取得月度量</x:v>
      </x:c>
    </x:row>
    <x:row r="71" ht="25" customHeight="1">
      <x:c r="A71" s="8" t="d">
        <x:v>2006-10-01T00:00:00.000Z</x:v>
      </x:c>
      <x:c r="B71" s="10" t="n">
        <x:f>'原始月度'!C71*1000</x:f>
        <x:v>1924200</x:v>
      </x:c>
      <x:c r="C71" s="10" t="n">
        <x:f>IF('原始月度'!D71=0,"",'原始月度'!D71*1000)</x:f>
        <x:v>8552350</x:v>
      </x:c>
      <x:c r="D71" s="10" t="n">
        <x:f>'原始月度'!E71*1000</x:f>
        <x:v>12062800</x:v>
      </x:c>
      <x:c r="E71" s="10" t="str">
        <x:f>IF(ISNUMBER('原始月度'!F71),'原始月度'!F71*1000,"")</x:f>
      </x:c>
      <x:c r="F71" s="10" t="str">
        <x:f>IF(ISNUMBER('原始月度'!G71),'原始月度'!G71,"")</x:f>
      </x:c>
      <x:c r="G71" s="2" t="str">
        <x:v>原报非零值</x:v>
      </x:c>
      <x:c r="H71" s="2" t="str">
        <x:v>未披露</x:v>
      </x:c>
      <x:c r="I71" s="2" t="str">
        <x:v>未取得月度量</x:v>
      </x:c>
    </x:row>
    <x:row r="72" ht="25" customHeight="1">
      <x:c r="A72" s="7" t="d">
        <x:v>2006-11-01T00:00:00.000Z</x:v>
      </x:c>
      <x:c r="B72" s="9" t="n">
        <x:f>'原始月度'!C72*1000</x:f>
        <x:v>5099600</x:v>
      </x:c>
      <x:c r="C72" s="9" t="n">
        <x:f>IF('原始月度'!D72=0,"",'原始月度'!D72*1000)</x:f>
        <x:v>8118200</x:v>
      </x:c>
      <x:c r="D72" s="9" t="n">
        <x:f>'原始月度'!E72*1000</x:f>
        <x:v>10012500</x:v>
      </x:c>
      <x:c r="E72" s="9" t="str">
        <x:f>IF(ISNUMBER('原始月度'!F72),'原始月度'!F72*1000,"")</x:f>
      </x:c>
      <x:c r="F72" s="9" t="str">
        <x:f>IF(ISNUMBER('原始月度'!G72),'原始月度'!G72,"")</x:f>
      </x:c>
      <x:c r="G72" s="6" t="str">
        <x:v>原报非零值</x:v>
      </x:c>
      <x:c r="H72" s="6" t="str">
        <x:v>未披露</x:v>
      </x:c>
      <x:c r="I72" s="6" t="str">
        <x:v>未取得月度量</x:v>
      </x:c>
    </x:row>
    <x:row r="73" ht="25" customHeight="1">
      <x:c r="A73" s="8" t="d">
        <x:v>2006-12-01T00:00:00.000Z</x:v>
      </x:c>
      <x:c r="B73" s="10" t="n">
        <x:f>'原始月度'!C73*1000</x:f>
        <x:v>4086000</x:v>
      </x:c>
      <x:c r="C73" s="10" t="n">
        <x:f>IF('原始月度'!D73=0,"",'原始月度'!D73*1000)</x:f>
        <x:v>10894560</x:v>
      </x:c>
      <x:c r="D73" s="10" t="n">
        <x:f>'原始月度'!E73*1000</x:f>
        <x:v>12266000</x:v>
      </x:c>
      <x:c r="E73" s="10" t="str">
        <x:f>IF(ISNUMBER('原始月度'!F73),'原始月度'!F73*1000,"")</x:f>
      </x:c>
      <x:c r="F73" s="10" t="str">
        <x:f>IF(ISNUMBER('原始月度'!G73),'原始月度'!G73,"")</x:f>
      </x:c>
      <x:c r="G73" s="2" t="str">
        <x:v>原报非零值</x:v>
      </x:c>
      <x:c r="H73" s="2" t="str">
        <x:v>未披露</x:v>
      </x:c>
      <x:c r="I73" s="2" t="str">
        <x:v>未取得月度量</x:v>
      </x:c>
    </x:row>
    <x:row r="74" ht="25" customHeight="1">
      <x:c r="A74" s="7" t="d">
        <x:v>2007-01-01T00:00:00.000Z</x:v>
      </x:c>
      <x:c r="B74" s="9" t="n">
        <x:f>'原始月度'!C74*1000</x:f>
        <x:v>5975900</x:v>
      </x:c>
      <x:c r="C74" s="9" t="n">
        <x:f>IF('原始月度'!D74=0,"",'原始月度'!D74*1000)</x:f>
        <x:v>7042360</x:v>
      </x:c>
      <x:c r="D74" s="9" t="n">
        <x:f>'原始月度'!E74*1000</x:f>
        <x:v>8942700</x:v>
      </x:c>
      <x:c r="E74" s="9" t="str">
        <x:f>IF(ISNUMBER('原始月度'!F74),'原始月度'!F74*1000,"")</x:f>
      </x:c>
      <x:c r="F74" s="9" t="str">
        <x:f>IF(ISNUMBER('原始月度'!G74),'原始月度'!G74,"")</x:f>
      </x:c>
      <x:c r="G74" s="6" t="str">
        <x:v>原报非零值</x:v>
      </x:c>
      <x:c r="H74" s="6" t="str">
        <x:v>未披露</x:v>
      </x:c>
      <x:c r="I74" s="6" t="str">
        <x:v>未取得月度量</x:v>
      </x:c>
    </x:row>
    <x:row r="75" ht="25" customHeight="1">
      <x:c r="A75" s="8" t="d">
        <x:v>2007-02-01T00:00:00.000Z</x:v>
      </x:c>
      <x:c r="B75" s="10" t="n">
        <x:f>'原始月度'!C75*1000</x:f>
        <x:v>5247100</x:v>
      </x:c>
      <x:c r="C75" s="10" t="n">
        <x:f>IF('原始月度'!D75=0,"",'原始月度'!D75*1000)</x:f>
        <x:v>7119660</x:v>
      </x:c>
      <x:c r="D75" s="10" t="n">
        <x:f>'原始月度'!E75*1000</x:f>
        <x:v>9933400</x:v>
      </x:c>
      <x:c r="E75" s="10" t="str">
        <x:f>IF(ISNUMBER('原始月度'!F75),'原始月度'!F75*1000,"")</x:f>
      </x:c>
      <x:c r="F75" s="10" t="str">
        <x:f>IF(ISNUMBER('原始月度'!G75),'原始月度'!G75,"")</x:f>
      </x:c>
      <x:c r="G75" s="2" t="str">
        <x:v>原报非零值</x:v>
      </x:c>
      <x:c r="H75" s="2" t="str">
        <x:v>未披露</x:v>
      </x:c>
      <x:c r="I75" s="2" t="str">
        <x:v>未取得月度量</x:v>
      </x:c>
    </x:row>
    <x:row r="76" ht="25" customHeight="1">
      <x:c r="A76" s="7" t="d">
        <x:v>2007-03-01T00:00:00.000Z</x:v>
      </x:c>
      <x:c r="B76" s="9" t="n">
        <x:f>'原始月度'!C76*1000</x:f>
        <x:v>4290500</x:v>
      </x:c>
      <x:c r="C76" s="9" t="n">
        <x:f>IF('原始月度'!D76=0,"",'原始月度'!D76*1000)</x:f>
        <x:v>5258760</x:v>
      </x:c>
      <x:c r="D76" s="9" t="n">
        <x:f>'原始月度'!E76*1000</x:f>
        <x:v>8491900</x:v>
      </x:c>
      <x:c r="E76" s="9" t="str">
        <x:f>IF(ISNUMBER('原始月度'!F76),'原始月度'!F76*1000,"")</x:f>
      </x:c>
      <x:c r="F76" s="9" t="str">
        <x:f>IF(ISNUMBER('原始月度'!G76),'原始月度'!G76,"")</x:f>
      </x:c>
      <x:c r="G76" s="6" t="str">
        <x:v>原报非零值</x:v>
      </x:c>
      <x:c r="H76" s="6" t="str">
        <x:v>未披露</x:v>
      </x:c>
      <x:c r="I76" s="6" t="str">
        <x:v>未取得月度量</x:v>
      </x:c>
    </x:row>
    <x:row r="77" ht="25" customHeight="1">
      <x:c r="A77" s="8" t="d">
        <x:v>2007-04-01T00:00:00.000Z</x:v>
      </x:c>
      <x:c r="B77" s="10" t="n">
        <x:f>'原始月度'!C77*1000</x:f>
        <x:v>2314600</x:v>
      </x:c>
      <x:c r="C77" s="10" t="n">
        <x:f>IF('原始月度'!D77=0,"",'原始月度'!D77*1000)</x:f>
        <x:v>11055580</x:v>
      </x:c>
      <x:c r="D77" s="10" t="n">
        <x:f>'原始月度'!E77*1000</x:f>
        <x:v>14043400</x:v>
      </x:c>
      <x:c r="E77" s="10" t="str">
        <x:f>IF(ISNUMBER('原始月度'!F77),'原始月度'!F77*1000,"")</x:f>
      </x:c>
      <x:c r="F77" s="10" t="str">
        <x:f>IF(ISNUMBER('原始月度'!G77),'原始月度'!G77,"")</x:f>
      </x:c>
      <x:c r="G77" s="2" t="str">
        <x:v>原报非零值</x:v>
      </x:c>
      <x:c r="H77" s="2" t="str">
        <x:v>未披露</x:v>
      </x:c>
      <x:c r="I77" s="2" t="str">
        <x:v>未取得月度量</x:v>
      </x:c>
    </x:row>
    <x:row r="78" ht="25" customHeight="1">
      <x:c r="A78" s="7" t="d">
        <x:v>2007-05-01T00:00:00.000Z</x:v>
      </x:c>
      <x:c r="B78" s="9" t="n">
        <x:f>'原始月度'!C78*1000</x:f>
        <x:v>6647200</x:v>
      </x:c>
      <x:c r="C78" s="9" t="n">
        <x:f>IF('原始月度'!D78=0,"",'原始月度'!D78*1000)</x:f>
        <x:v>11451950</x:v>
      </x:c>
      <x:c r="D78" s="9" t="n">
        <x:f>'原始月度'!E78*1000</x:f>
        <x:v>23215000</x:v>
      </x:c>
      <x:c r="E78" s="9" t="str">
        <x:f>IF(ISNUMBER('原始月度'!F78),'原始月度'!F78*1000,"")</x:f>
      </x:c>
      <x:c r="F78" s="9" t="str">
        <x:f>IF(ISNUMBER('原始月度'!G78),'原始月度'!G78,"")</x:f>
      </x:c>
      <x:c r="G78" s="6" t="str">
        <x:v>原报非零值</x:v>
      </x:c>
      <x:c r="H78" s="6" t="str">
        <x:v>未披露</x:v>
      </x:c>
      <x:c r="I78" s="6" t="str">
        <x:v>未取得月度量</x:v>
      </x:c>
    </x:row>
    <x:row r="79" ht="25" customHeight="1">
      <x:c r="A79" s="8" t="d">
        <x:v>2007-06-01T00:00:00.000Z</x:v>
      </x:c>
      <x:c r="B79" s="10" t="n">
        <x:f>'原始月度'!C79*1000</x:f>
        <x:v>9447400</x:v>
      </x:c>
      <x:c r="C79" s="10" t="n">
        <x:f>IF('原始月度'!D79=0,"",'原始月度'!D79*1000)</x:f>
        <x:v>11518770</x:v>
      </x:c>
      <x:c r="D79" s="10" t="n">
        <x:f>'原始月度'!E79*1000</x:f>
        <x:v>21527000</x:v>
      </x:c>
      <x:c r="E79" s="10" t="str">
        <x:f>IF(ISNUMBER('原始月度'!F79),'原始月度'!F79*1000,"")</x:f>
      </x:c>
      <x:c r="F79" s="10" t="str">
        <x:f>IF(ISNUMBER('原始月度'!G79),'原始月度'!G79,"")</x:f>
      </x:c>
      <x:c r="G79" s="2" t="str">
        <x:v>原报非零值</x:v>
      </x:c>
      <x:c r="H79" s="2" t="str">
        <x:v>未披露</x:v>
      </x:c>
      <x:c r="I79" s="2" t="str">
        <x:v>未取得月度量</x:v>
      </x:c>
    </x:row>
    <x:row r="80" ht="25" customHeight="1">
      <x:c r="A80" s="7" t="d">
        <x:v>2007-07-01T00:00:00.000Z</x:v>
      </x:c>
      <x:c r="B80" s="9" t="n">
        <x:f>'原始月度'!C80*1000</x:f>
        <x:v>5859000</x:v>
      </x:c>
      <x:c r="C80" s="9" t="n">
        <x:f>IF('原始月度'!D80=0,"",'原始月度'!D80*1000)</x:f>
        <x:v>10051920</x:v>
      </x:c>
      <x:c r="D80" s="9" t="n">
        <x:f>'原始月度'!E80*1000</x:f>
        <x:v>11866200</x:v>
      </x:c>
      <x:c r="E80" s="9" t="str">
        <x:f>IF(ISNUMBER('原始月度'!F80),'原始月度'!F80*1000,"")</x:f>
      </x:c>
      <x:c r="F80" s="9" t="str">
        <x:f>IF(ISNUMBER('原始月度'!G80),'原始月度'!G80,"")</x:f>
      </x:c>
      <x:c r="G80" s="6" t="str">
        <x:v>原报非零值</x:v>
      </x:c>
      <x:c r="H80" s="6" t="str">
        <x:v>未披露</x:v>
      </x:c>
      <x:c r="I80" s="6" t="str">
        <x:v>未取得月度量</x:v>
      </x:c>
    </x:row>
    <x:row r="81" ht="25" customHeight="1">
      <x:c r="A81" s="8" t="d">
        <x:v>2007-08-01T00:00:00.000Z</x:v>
      </x:c>
      <x:c r="B81" s="10" t="n">
        <x:f>'原始月度'!C81*1000</x:f>
        <x:v>5810200</x:v>
      </x:c>
      <x:c r="C81" s="10" t="n">
        <x:f>IF('原始月度'!D81=0,"",'原始月度'!D81*1000)</x:f>
        <x:v>11234190</x:v>
      </x:c>
      <x:c r="D81" s="10" t="n">
        <x:f>'原始月度'!E81*1000</x:f>
        <x:v>13923400</x:v>
      </x:c>
      <x:c r="E81" s="10" t="str">
        <x:f>IF(ISNUMBER('原始月度'!F81),'原始月度'!F81*1000,"")</x:f>
      </x:c>
      <x:c r="F81" s="10" t="str">
        <x:f>IF(ISNUMBER('原始月度'!G81),'原始月度'!G81,"")</x:f>
      </x:c>
      <x:c r="G81" s="2" t="str">
        <x:v>原报非零值</x:v>
      </x:c>
      <x:c r="H81" s="2" t="str">
        <x:v>未披露</x:v>
      </x:c>
      <x:c r="I81" s="2" t="str">
        <x:v>未取得月度量</x:v>
      </x:c>
    </x:row>
    <x:row r="82" ht="25" customHeight="1">
      <x:c r="A82" s="7" t="d">
        <x:v>2007-09-01T00:00:00.000Z</x:v>
      </x:c>
      <x:c r="B82" s="9" t="n">
        <x:f>'原始月度'!C82*1000</x:f>
        <x:v>6313200</x:v>
      </x:c>
      <x:c r="C82" s="9" t="n">
        <x:f>IF('原始月度'!D82=0,"",'原始月度'!D82*1000)</x:f>
        <x:v>15417790</x:v>
      </x:c>
      <x:c r="D82" s="9" t="n">
        <x:f>'原始月度'!E82*1000</x:f>
        <x:v>18054700</x:v>
      </x:c>
      <x:c r="E82" s="9" t="str">
        <x:f>IF(ISNUMBER('原始月度'!F82),'原始月度'!F82*1000,"")</x:f>
      </x:c>
      <x:c r="F82" s="9" t="str">
        <x:f>IF(ISNUMBER('原始月度'!G82),'原始月度'!G82,"")</x:f>
      </x:c>
      <x:c r="G82" s="6" t="str">
        <x:v>原报非零值</x:v>
      </x:c>
      <x:c r="H82" s="6" t="str">
        <x:v>未披露</x:v>
      </x:c>
      <x:c r="I82" s="6" t="str">
        <x:v>未取得月度量</x:v>
      </x:c>
    </x:row>
    <x:row r="83" ht="25" customHeight="1">
      <x:c r="A83" s="8" t="d">
        <x:v>2007-10-01T00:00:00.000Z</x:v>
      </x:c>
      <x:c r="B83" s="10" t="n">
        <x:f>'原始月度'!C83*1000</x:f>
        <x:v>4072100</x:v>
      </x:c>
      <x:c r="C83" s="10" t="n">
        <x:f>IF('原始月度'!D83=0,"",'原始月度'!D83*1000)</x:f>
        <x:v>3128450</x:v>
      </x:c>
      <x:c r="D83" s="10" t="n">
        <x:f>'原始月度'!E83*1000</x:f>
        <x:v>6561800</x:v>
      </x:c>
      <x:c r="E83" s="10" t="str">
        <x:f>IF(ISNUMBER('原始月度'!F83),'原始月度'!F83*1000,"")</x:f>
      </x:c>
      <x:c r="F83" s="10" t="str">
        <x:f>IF(ISNUMBER('原始月度'!G83),'原始月度'!G83,"")</x:f>
      </x:c>
      <x:c r="G83" s="2" t="str">
        <x:v>原报非零值</x:v>
      </x:c>
      <x:c r="H83" s="2" t="str">
        <x:v>未披露</x:v>
      </x:c>
      <x:c r="I83" s="2" t="str">
        <x:v>未取得月度量</x:v>
      </x:c>
    </x:row>
    <x:row r="84" ht="25" customHeight="1">
      <x:c r="A84" s="7" t="d">
        <x:v>2007-11-01T00:00:00.000Z</x:v>
      </x:c>
      <x:c r="B84" s="9" t="n">
        <x:f>'原始月度'!C84*1000</x:f>
        <x:v>6781100</x:v>
      </x:c>
      <x:c r="C84" s="9" t="n">
        <x:f>IF('原始月度'!D84=0,"",'原始月度'!D84*1000)</x:f>
        <x:v>17499160</x:v>
      </x:c>
      <x:c r="D84" s="9" t="n">
        <x:f>'原始月度'!E84*1000</x:f>
        <x:v>19137900</x:v>
      </x:c>
      <x:c r="E84" s="9" t="str">
        <x:f>IF(ISNUMBER('原始月度'!F84),'原始月度'!F84*1000,"")</x:f>
      </x:c>
      <x:c r="F84" s="9" t="str">
        <x:f>IF(ISNUMBER('原始月度'!G84),'原始月度'!G84,"")</x:f>
      </x:c>
      <x:c r="G84" s="6" t="str">
        <x:v>原报非零值</x:v>
      </x:c>
      <x:c r="H84" s="6" t="str">
        <x:v>未披露</x:v>
      </x:c>
      <x:c r="I84" s="6" t="str">
        <x:v>未取得月度量</x:v>
      </x:c>
    </x:row>
    <x:row r="85" ht="25" customHeight="1">
      <x:c r="A85" s="8" t="d">
        <x:v>2007-12-01T00:00:00.000Z</x:v>
      </x:c>
      <x:c r="B85" s="10" t="n">
        <x:f>'原始月度'!C85*1000</x:f>
        <x:v>5190300</x:v>
      </x:c>
      <x:c r="C85" s="10" t="n">
        <x:f>IF('原始月度'!D85=0,"",'原始月度'!D85*1000)</x:f>
        <x:v>10759220</x:v>
      </x:c>
      <x:c r="D85" s="10" t="n">
        <x:f>'原始月度'!E85*1000</x:f>
        <x:v>12879100</x:v>
      </x:c>
      <x:c r="E85" s="10" t="str">
        <x:f>IF(ISNUMBER('原始月度'!F85),'原始月度'!F85*1000,"")</x:f>
      </x:c>
      <x:c r="F85" s="10" t="str">
        <x:f>IF(ISNUMBER('原始月度'!G85),'原始月度'!G85,"")</x:f>
      </x:c>
      <x:c r="G85" s="2" t="str">
        <x:v>原报非零值</x:v>
      </x:c>
      <x:c r="H85" s="2" t="str">
        <x:v>未披露</x:v>
      </x:c>
      <x:c r="I85" s="2" t="str">
        <x:v>未取得月度量</x:v>
      </x:c>
    </x:row>
    <x:row r="86" ht="25" customHeight="1">
      <x:c r="A86" s="7" t="d">
        <x:v>2008-01-01T00:00:00.000Z</x:v>
      </x:c>
      <x:c r="B86" s="9" t="n">
        <x:f>'原始月度'!C86*1000</x:f>
        <x:v>5368020</x:v>
      </x:c>
      <x:c r="C86" s="9" t="n">
        <x:f>IF('原始月度'!D86=0,"",'原始月度'!D86*1000)</x:f>
        <x:v>12535420</x:v>
      </x:c>
      <x:c r="D86" s="9" t="n">
        <x:f>'原始月度'!E86*1000</x:f>
        <x:v>14259400</x:v>
      </x:c>
      <x:c r="E86" s="9" t="str">
        <x:f>IF(ISNUMBER('原始月度'!F86),'原始月度'!F86*1000,"")</x:f>
      </x:c>
      <x:c r="F86" s="9" t="str">
        <x:f>IF(ISNUMBER('原始月度'!G86),'原始月度'!G86,"")</x:f>
      </x:c>
      <x:c r="G86" s="6" t="str">
        <x:v>原报非零值</x:v>
      </x:c>
      <x:c r="H86" s="6" t="str">
        <x:v>未披露</x:v>
      </x:c>
      <x:c r="I86" s="6" t="str">
        <x:v>未取得月度量</x:v>
      </x:c>
    </x:row>
    <x:row r="87" ht="25" customHeight="1">
      <x:c r="A87" s="8" t="d">
        <x:v>2008-02-01T00:00:00.000Z</x:v>
      </x:c>
      <x:c r="B87" s="10" t="n">
        <x:f>'原始月度'!C87*1000</x:f>
        <x:v>2568300</x:v>
      </x:c>
      <x:c r="C87" s="10" t="n">
        <x:f>IF('原始月度'!D87=0,"",'原始月度'!D87*1000)</x:f>
        <x:v>12681530</x:v>
      </x:c>
      <x:c r="D87" s="10" t="n">
        <x:f>'原始月度'!E87*1000</x:f>
        <x:v>13739300</x:v>
      </x:c>
      <x:c r="E87" s="10" t="str">
        <x:f>IF(ISNUMBER('原始月度'!F87),'原始月度'!F87*1000,"")</x:f>
      </x:c>
      <x:c r="F87" s="10" t="str">
        <x:f>IF(ISNUMBER('原始月度'!G87),'原始月度'!G87,"")</x:f>
      </x:c>
      <x:c r="G87" s="2" t="str">
        <x:v>原报非零值</x:v>
      </x:c>
      <x:c r="H87" s="2" t="str">
        <x:v>未披露</x:v>
      </x:c>
      <x:c r="I87" s="2" t="str">
        <x:v>未取得月度量</x:v>
      </x:c>
    </x:row>
    <x:row r="88" ht="25" customHeight="1">
      <x:c r="A88" s="7" t="d">
        <x:v>2008-03-01T00:00:00.000Z</x:v>
      </x:c>
      <x:c r="B88" s="9" t="n">
        <x:f>'原始月度'!C88*1000</x:f>
        <x:v>4314290</x:v>
      </x:c>
      <x:c r="C88" s="9" t="n">
        <x:f>IF('原始月度'!D88=0,"",'原始月度'!D88*1000)</x:f>
        <x:v>19746740</x:v>
      </x:c>
      <x:c r="D88" s="9" t="n">
        <x:f>'原始月度'!E88*1000</x:f>
        <x:v>20165890</x:v>
      </x:c>
      <x:c r="E88" s="9" t="str">
        <x:f>IF(ISNUMBER('原始月度'!F88),'原始月度'!F88*1000,"")</x:f>
      </x:c>
      <x:c r="F88" s="9" t="str">
        <x:f>IF(ISNUMBER('原始月度'!G88),'原始月度'!G88,"")</x:f>
      </x:c>
      <x:c r="G88" s="6" t="str">
        <x:v>原报非零值</x:v>
      </x:c>
      <x:c r="H88" s="6" t="str">
        <x:v>未披露</x:v>
      </x:c>
      <x:c r="I88" s="6" t="str">
        <x:v>未取得月度量</x:v>
      </x:c>
    </x:row>
    <x:row r="89" ht="25" customHeight="1">
      <x:c r="A89" s="8" t="d">
        <x:v>2008-04-01T00:00:00.000Z</x:v>
      </x:c>
      <x:c r="B89" s="10" t="n">
        <x:f>'原始月度'!C89*1000</x:f>
        <x:v>13822740</x:v>
      </x:c>
      <x:c r="C89" s="10" t="n">
        <x:f>IF('原始月度'!D89=0,"",'原始月度'!D89*1000)</x:f>
        <x:v>23768430</x:v>
      </x:c>
      <x:c r="D89" s="10" t="n">
        <x:f>'原始月度'!E89*1000</x:f>
        <x:v>24042730</x:v>
      </x:c>
      <x:c r="E89" s="10" t="str">
        <x:f>IF(ISNUMBER('原始月度'!F89),'原始月度'!F89*1000,"")</x:f>
      </x:c>
      <x:c r="F89" s="10" t="str">
        <x:f>IF(ISNUMBER('原始月度'!G89),'原始月度'!G89,"")</x:f>
      </x:c>
      <x:c r="G89" s="2" t="str">
        <x:v>原报非零值</x:v>
      </x:c>
      <x:c r="H89" s="2" t="str">
        <x:v>未披露</x:v>
      </x:c>
      <x:c r="I89" s="2" t="str">
        <x:v>未取得月度量</x:v>
      </x:c>
    </x:row>
    <x:row r="90" ht="25" customHeight="1">
      <x:c r="A90" s="7" t="d">
        <x:v>2008-05-01T00:00:00.000Z</x:v>
      </x:c>
      <x:c r="B90" s="9" t="n">
        <x:f>'原始月度'!C90*1000</x:f>
        <x:v>26193020</x:v>
      </x:c>
      <x:c r="C90" s="9" t="n">
        <x:f>IF('原始月度'!D90=0,"",'原始月度'!D90*1000)</x:f>
        <x:v>11063750</x:v>
      </x:c>
      <x:c r="D90" s="9" t="n">
        <x:f>'原始月度'!E90*1000</x:f>
        <x:v>15649430</x:v>
      </x:c>
      <x:c r="E90" s="9" t="str">
        <x:f>IF(ISNUMBER('原始月度'!F90),'原始月度'!F90*1000,"")</x:f>
      </x:c>
      <x:c r="F90" s="9" t="str">
        <x:f>IF(ISNUMBER('原始月度'!G90),'原始月度'!G90,"")</x:f>
      </x:c>
      <x:c r="G90" s="6" t="str">
        <x:v>原报非零值</x:v>
      </x:c>
      <x:c r="H90" s="6" t="str">
        <x:v>未披露</x:v>
      </x:c>
      <x:c r="I90" s="6" t="str">
        <x:v>未取得月度量</x:v>
      </x:c>
    </x:row>
    <x:row r="91" ht="25" customHeight="1">
      <x:c r="A91" s="8" t="d">
        <x:v>2008-06-01T00:00:00.000Z</x:v>
      </x:c>
      <x:c r="B91" s="10" t="n">
        <x:f>'原始月度'!C91*1000</x:f>
        <x:v>11804780</x:v>
      </x:c>
      <x:c r="C91" s="10" t="n">
        <x:f>IF('原始月度'!D91=0,"",'原始月度'!D91*1000)</x:f>
        <x:v>20165510</x:v>
      </x:c>
      <x:c r="D91" s="10" t="n">
        <x:f>'原始月度'!E91*1000</x:f>
        <x:v>26719650</x:v>
      </x:c>
      <x:c r="E91" s="10" t="str">
        <x:f>IF(ISNUMBER('原始月度'!F91),'原始月度'!F91*1000,"")</x:f>
      </x:c>
      <x:c r="F91" s="10" t="str">
        <x:f>IF(ISNUMBER('原始月度'!G91),'原始月度'!G91,"")</x:f>
      </x:c>
      <x:c r="G91" s="2" t="str">
        <x:v>原报非零值</x:v>
      </x:c>
      <x:c r="H91" s="2" t="str">
        <x:v>未披露</x:v>
      </x:c>
      <x:c r="I91" s="2" t="str">
        <x:v>未取得月度量</x:v>
      </x:c>
    </x:row>
    <x:row r="92" ht="25" customHeight="1">
      <x:c r="A92" s="7" t="d">
        <x:v>2008-07-01T00:00:00.000Z</x:v>
      </x:c>
      <x:c r="B92" s="9" t="n">
        <x:f>'原始月度'!C92*1000</x:f>
        <x:v>4464780</x:v>
      </x:c>
      <x:c r="C92" s="9" t="n">
        <x:f>IF('原始月度'!D92=0,"",'原始月度'!D92*1000)</x:f>
        <x:v>16045260</x:v>
      </x:c>
      <x:c r="D92" s="9" t="n">
        <x:f>'原始月度'!E92*1000</x:f>
        <x:v>18484140</x:v>
      </x:c>
      <x:c r="E92" s="9" t="str">
        <x:f>IF(ISNUMBER('原始月度'!F92),'原始月度'!F92*1000,"")</x:f>
      </x:c>
      <x:c r="F92" s="9" t="str">
        <x:f>IF(ISNUMBER('原始月度'!G92),'原始月度'!G92,"")</x:f>
      </x:c>
      <x:c r="G92" s="6" t="str">
        <x:v>原报非零值</x:v>
      </x:c>
      <x:c r="H92" s="6" t="str">
        <x:v>未披露</x:v>
      </x:c>
      <x:c r="I92" s="6" t="str">
        <x:v>未取得月度量</x:v>
      </x:c>
    </x:row>
    <x:row r="93" ht="25" customHeight="1">
      <x:c r="A93" s="8" t="d">
        <x:v>2008-08-01T00:00:00.000Z</x:v>
      </x:c>
      <x:c r="B93" s="10" t="n">
        <x:f>'原始月度'!C93*1000</x:f>
        <x:v>10977300</x:v>
      </x:c>
      <x:c r="C93" s="10" t="n">
        <x:f>IF('原始月度'!D93=0,"",'原始月度'!D93*1000)</x:f>
        <x:v>14327530</x:v>
      </x:c>
      <x:c r="D93" s="10" t="n">
        <x:f>'原始月度'!E93*1000</x:f>
        <x:v>18768610</x:v>
      </x:c>
      <x:c r="E93" s="10" t="str">
        <x:f>IF(ISNUMBER('原始月度'!F93),'原始月度'!F93*1000,"")</x:f>
      </x:c>
      <x:c r="F93" s="10" t="str">
        <x:f>IF(ISNUMBER('原始月度'!G93),'原始月度'!G93,"")</x:f>
      </x:c>
      <x:c r="G93" s="2" t="str">
        <x:v>原报非零值</x:v>
      </x:c>
      <x:c r="H93" s="2" t="str">
        <x:v>未披露</x:v>
      </x:c>
      <x:c r="I93" s="2" t="str">
        <x:v>未取得月度量</x:v>
      </x:c>
    </x:row>
    <x:row r="94" ht="25" customHeight="1">
      <x:c r="A94" s="7" t="d">
        <x:v>2008-09-01T00:00:00.000Z</x:v>
      </x:c>
      <x:c r="B94" s="9" t="n">
        <x:f>'原始月度'!C94*1000</x:f>
        <x:v>14776960</x:v>
      </x:c>
      <x:c r="C94" s="9" t="n">
        <x:f>IF('原始月度'!D94=0,"",'原始月度'!D94*1000)</x:f>
        <x:v>13220050</x:v>
      </x:c>
      <x:c r="D94" s="9" t="n">
        <x:f>'原始月度'!E94*1000</x:f>
        <x:v>16387189.999999998</x:v>
      </x:c>
      <x:c r="E94" s="9" t="str">
        <x:f>IF(ISNUMBER('原始月度'!F94),'原始月度'!F94*1000,"")</x:f>
      </x:c>
      <x:c r="F94" s="9" t="str">
        <x:f>IF(ISNUMBER('原始月度'!G94),'原始月度'!G94,"")</x:f>
      </x:c>
      <x:c r="G94" s="6" t="str">
        <x:v>原报非零值</x:v>
      </x:c>
      <x:c r="H94" s="6" t="str">
        <x:v>未披露</x:v>
      </x:c>
      <x:c r="I94" s="6" t="str">
        <x:v>未取得月度量</x:v>
      </x:c>
    </x:row>
    <x:row r="95" ht="25" customHeight="1">
      <x:c r="A95" s="8" t="d">
        <x:v>2008-10-01T00:00:00.000Z</x:v>
      </x:c>
      <x:c r="B95" s="10" t="n">
        <x:f>'原始月度'!C95*1000</x:f>
        <x:v>6449800</x:v>
      </x:c>
      <x:c r="C95" s="10" t="n">
        <x:f>IF('原始月度'!D95=0,"",'原始月度'!D95*1000)</x:f>
        <x:v>16317010</x:v>
      </x:c>
      <x:c r="D95" s="10" t="n">
        <x:f>'原始月度'!E95*1000</x:f>
        <x:v>18753350</x:v>
      </x:c>
      <x:c r="E95" s="10" t="str">
        <x:f>IF(ISNUMBER('原始月度'!F95),'原始月度'!F95*1000,"")</x:f>
      </x:c>
      <x:c r="F95" s="10" t="str">
        <x:f>IF(ISNUMBER('原始月度'!G95),'原始月度'!G95,"")</x:f>
      </x:c>
      <x:c r="G95" s="2" t="str">
        <x:v>原报非零值</x:v>
      </x:c>
      <x:c r="H95" s="2" t="str">
        <x:v>未披露</x:v>
      </x:c>
      <x:c r="I95" s="2" t="str">
        <x:v>未取得月度量</x:v>
      </x:c>
    </x:row>
    <x:row r="96" ht="25" customHeight="1">
      <x:c r="A96" s="7" t="d">
        <x:v>2008-11-01T00:00:00.000Z</x:v>
      </x:c>
      <x:c r="B96" s="9" t="n">
        <x:f>'原始月度'!C96*1000</x:f>
        <x:v>14354400</x:v>
      </x:c>
      <x:c r="C96" s="9" t="n">
        <x:f>IF('原始月度'!D96=0,"",'原始月度'!D96*1000)</x:f>
        <x:v>9359530</x:v>
      </x:c>
      <x:c r="D96" s="9" t="n">
        <x:f>'原始月度'!E96*1000</x:f>
        <x:v>9368510</x:v>
      </x:c>
      <x:c r="E96" s="9" t="str">
        <x:f>IF(ISNUMBER('原始月度'!F96),'原始月度'!F96*1000,"")</x:f>
      </x:c>
      <x:c r="F96" s="9" t="str">
        <x:f>IF(ISNUMBER('原始月度'!G96),'原始月度'!G96,"")</x:f>
      </x:c>
      <x:c r="G96" s="6" t="str">
        <x:v>原报非零值</x:v>
      </x:c>
      <x:c r="H96" s="6" t="str">
        <x:v>未披露</x:v>
      </x:c>
      <x:c r="I96" s="6" t="str">
        <x:v>未取得月度量</x:v>
      </x:c>
    </x:row>
    <x:row r="97" ht="25" customHeight="1">
      <x:c r="A97" s="8" t="d">
        <x:v>2008-12-01T00:00:00.000Z</x:v>
      </x:c>
      <x:c r="B97" s="10" t="n">
        <x:f>'原始月度'!C97*1000</x:f>
        <x:v>989140</x:v>
      </x:c>
      <x:c r="C97" s="10" t="n">
        <x:f>IF('原始月度'!D97=0,"",'原始月度'!D97*1000)</x:f>
        <x:v>3265540</x:v>
      </x:c>
      <x:c r="D97" s="10" t="n">
        <x:f>'原始月度'!E97*1000</x:f>
        <x:v>4303560</x:v>
      </x:c>
      <x:c r="E97" s="10" t="str">
        <x:f>IF(ISNUMBER('原始月度'!F97),'原始月度'!F97*1000,"")</x:f>
      </x:c>
      <x:c r="F97" s="10" t="str">
        <x:f>IF(ISNUMBER('原始月度'!G97),'原始月度'!G97,"")</x:f>
      </x:c>
      <x:c r="G97" s="2" t="str">
        <x:v>原报非零值</x:v>
      </x:c>
      <x:c r="H97" s="2" t="str">
        <x:v>未披露</x:v>
      </x:c>
      <x:c r="I97" s="2" t="str">
        <x:v>未取得月度量</x:v>
      </x:c>
    </x:row>
    <x:row r="98" ht="25" customHeight="1">
      <x:c r="A98" s="7" t="d">
        <x:v>2009-01-01T00:00:00.000Z</x:v>
      </x:c>
      <x:c r="B98" s="9" t="n">
        <x:f>'原始月度'!C98*1000</x:f>
        <x:v>10144600</x:v>
      </x:c>
      <x:c r="C98" s="9" t="n">
        <x:f>IF('原始月度'!D98=0,"",'原始月度'!D98*1000)</x:f>
        <x:v>8690550</x:v>
      </x:c>
      <x:c r="D98" s="9" t="n">
        <x:f>'原始月度'!E98*1000</x:f>
        <x:v>10264400</x:v>
      </x:c>
      <x:c r="E98" s="9" t="str">
        <x:f>IF(ISNUMBER('原始月度'!F98),'原始月度'!F98*1000,"")</x:f>
      </x:c>
      <x:c r="F98" s="9" t="str">
        <x:f>IF(ISNUMBER('原始月度'!G98),'原始月度'!G98,"")</x:f>
      </x:c>
      <x:c r="G98" s="6" t="str">
        <x:v>原报非零值</x:v>
      </x:c>
      <x:c r="H98" s="6" t="str">
        <x:v>未披露</x:v>
      </x:c>
      <x:c r="I98" s="6" t="str">
        <x:v>未取得月度量</x:v>
      </x:c>
    </x:row>
    <x:row r="99" ht="25" customHeight="1">
      <x:c r="A99" s="8" t="d">
        <x:v>2009-02-01T00:00:00.000Z</x:v>
      </x:c>
      <x:c r="B99" s="10" t="n">
        <x:f>'原始月度'!C99*1000</x:f>
        <x:v>4888600</x:v>
      </x:c>
      <x:c r="C99" s="10" t="n">
        <x:f>IF('原始月度'!D99=0,"",'原始月度'!D99*1000)</x:f>
        <x:v>8360850</x:v>
      </x:c>
      <x:c r="D99" s="10" t="n">
        <x:f>'原始月度'!E99*1000</x:f>
        <x:v>10038200</x:v>
      </x:c>
      <x:c r="E99" s="10" t="str">
        <x:f>IF(ISNUMBER('原始月度'!F99),'原始月度'!F99*1000,"")</x:f>
      </x:c>
      <x:c r="F99" s="10" t="str">
        <x:f>IF(ISNUMBER('原始月度'!G99),'原始月度'!G99,"")</x:f>
      </x:c>
      <x:c r="G99" s="2" t="str">
        <x:v>原报非零值</x:v>
      </x:c>
      <x:c r="H99" s="2" t="str">
        <x:v>未披露</x:v>
      </x:c>
      <x:c r="I99" s="2" t="str">
        <x:v>未取得月度量</x:v>
      </x:c>
    </x:row>
    <x:row r="100" ht="25" customHeight="1">
      <x:c r="A100" s="7" t="d">
        <x:v>2009-03-01T00:00:00.000Z</x:v>
      </x:c>
      <x:c r="B100" s="9" t="n">
        <x:f>'原始月度'!C100*1000</x:f>
        <x:v>3965200</x:v>
      </x:c>
      <x:c r="C100" s="9" t="n">
        <x:f>IF('原始月度'!D100=0,"",'原始月度'!D100*1000)</x:f>
        <x:v>6751490</x:v>
      </x:c>
      <x:c r="D100" s="9" t="n">
        <x:f>'原始月度'!E100*1000</x:f>
        <x:v>8166900</x:v>
      </x:c>
      <x:c r="E100" s="9" t="str">
        <x:f>IF(ISNUMBER('原始月度'!F100),'原始月度'!F100*1000,"")</x:f>
      </x:c>
      <x:c r="F100" s="9" t="str">
        <x:f>IF(ISNUMBER('原始月度'!G100),'原始月度'!G100,"")</x:f>
      </x:c>
      <x:c r="G100" s="6" t="str">
        <x:v>原报非零值</x:v>
      </x:c>
      <x:c r="H100" s="6" t="str">
        <x:v>未披露</x:v>
      </x:c>
      <x:c r="I100" s="6" t="str">
        <x:v>未取得月度量</x:v>
      </x:c>
    </x:row>
    <x:row r="101" ht="25" customHeight="1">
      <x:c r="A101" s="8" t="d">
        <x:v>2009-04-01T00:00:00.000Z</x:v>
      </x:c>
      <x:c r="B101" s="10" t="n">
        <x:f>'原始月度'!C101*1000</x:f>
        <x:v>17682200</x:v>
      </x:c>
      <x:c r="C101" s="10" t="n">
        <x:f>IF('原始月度'!D101=0,"",'原始月度'!D101*1000)</x:f>
        <x:v>10479960</x:v>
      </x:c>
      <x:c r="D101" s="10" t="n">
        <x:f>'原始月度'!E101*1000</x:f>
        <x:v>12708400</x:v>
      </x:c>
      <x:c r="E101" s="10" t="str">
        <x:f>IF(ISNUMBER('原始月度'!F101),'原始月度'!F101*1000,"")</x:f>
      </x:c>
      <x:c r="F101" s="10" t="str">
        <x:f>IF(ISNUMBER('原始月度'!G101),'原始月度'!G101,"")</x:f>
      </x:c>
      <x:c r="G101" s="2" t="str">
        <x:v>原报非零值</x:v>
      </x:c>
      <x:c r="H101" s="2" t="str">
        <x:v>未披露</x:v>
      </x:c>
      <x:c r="I101" s="2" t="str">
        <x:v>未取得月度量</x:v>
      </x:c>
    </x:row>
    <x:row r="102" ht="25" customHeight="1">
      <x:c r="A102" s="7" t="d">
        <x:v>2009-05-01T00:00:00.000Z</x:v>
      </x:c>
      <x:c r="B102" s="9" t="n">
        <x:f>'原始月度'!C102*1000</x:f>
        <x:v>3958700</x:v>
      </x:c>
      <x:c r="C102" s="9" t="n">
        <x:f>IF('原始月度'!D102=0,"",'原始月度'!D102*1000)</x:f>
        <x:v>8300230</x:v>
      </x:c>
      <x:c r="D102" s="9" t="n">
        <x:f>'原始月度'!E102*1000</x:f>
        <x:v>11994500</x:v>
      </x:c>
      <x:c r="E102" s="9" t="str">
        <x:f>IF(ISNUMBER('原始月度'!F102),'原始月度'!F102*1000,"")</x:f>
      </x:c>
      <x:c r="F102" s="9" t="str">
        <x:f>IF(ISNUMBER('原始月度'!G102),'原始月度'!G102,"")</x:f>
      </x:c>
      <x:c r="G102" s="6" t="str">
        <x:v>原报非零值</x:v>
      </x:c>
      <x:c r="H102" s="6" t="str">
        <x:v>未披露</x:v>
      </x:c>
      <x:c r="I102" s="6" t="str">
        <x:v>未取得月度量</x:v>
      </x:c>
    </x:row>
    <x:row r="103" ht="25" customHeight="1">
      <x:c r="A103" s="8" t="d">
        <x:v>2009-06-01T00:00:00.000Z</x:v>
      </x:c>
      <x:c r="B103" s="10" t="n">
        <x:f>'原始月度'!C103*1000</x:f>
        <x:v>11838600</x:v>
      </x:c>
      <x:c r="C103" s="10" t="n">
        <x:f>IF('原始月度'!D103=0,"",'原始月度'!D103*1000)</x:f>
        <x:v>10575040</x:v>
      </x:c>
      <x:c r="D103" s="10" t="n">
        <x:f>'原始月度'!E103*1000</x:f>
        <x:v>13302300</x:v>
      </x:c>
      <x:c r="E103" s="10" t="str">
        <x:f>IF(ISNUMBER('原始月度'!F103),'原始月度'!F103*1000,"")</x:f>
      </x:c>
      <x:c r="F103" s="10" t="str">
        <x:f>IF(ISNUMBER('原始月度'!G103),'原始月度'!G103,"")</x:f>
      </x:c>
      <x:c r="G103" s="2" t="str">
        <x:v>原报非零值</x:v>
      </x:c>
      <x:c r="H103" s="2" t="str">
        <x:v>未披露</x:v>
      </x:c>
      <x:c r="I103" s="2" t="str">
        <x:v>未取得月度量</x:v>
      </x:c>
    </x:row>
    <x:row r="104" ht="25" customHeight="1">
      <x:c r="A104" s="7" t="d">
        <x:v>2009-07-01T00:00:00.000Z</x:v>
      </x:c>
      <x:c r="B104" s="9" t="n">
        <x:f>'原始月度'!C104*1000</x:f>
        <x:v>13569200</x:v>
      </x:c>
      <x:c r="C104" s="9" t="n">
        <x:f>IF('原始月度'!D104=0,"",'原始月度'!D104*1000)</x:f>
        <x:v>4676870</x:v>
      </x:c>
      <x:c r="D104" s="9" t="n">
        <x:f>'原始月度'!E104*1000</x:f>
        <x:v>7424500</x:v>
      </x:c>
      <x:c r="E104" s="9" t="str">
        <x:f>IF(ISNUMBER('原始月度'!F104),'原始月度'!F104*1000,"")</x:f>
      </x:c>
      <x:c r="F104" s="9" t="str">
        <x:f>IF(ISNUMBER('原始月度'!G104),'原始月度'!G104,"")</x:f>
      </x:c>
      <x:c r="G104" s="6" t="str">
        <x:v>原报非零值</x:v>
      </x:c>
      <x:c r="H104" s="6" t="str">
        <x:v>未披露</x:v>
      </x:c>
      <x:c r="I104" s="6" t="str">
        <x:v>未取得月度量</x:v>
      </x:c>
    </x:row>
    <x:row r="105" ht="25" customHeight="1">
      <x:c r="A105" s="8" t="d">
        <x:v>2009-08-01T00:00:00.000Z</x:v>
      </x:c>
      <x:c r="B105" s="10" t="n">
        <x:f>'原始月度'!C105*1000</x:f>
        <x:v>2391600</x:v>
      </x:c>
      <x:c r="C105" s="10" t="n">
        <x:f>IF('原始月度'!D105=0,"",'原始月度'!D105*1000)</x:f>
        <x:v>11535150</x:v>
      </x:c>
      <x:c r="D105" s="10" t="n">
        <x:f>'原始月度'!E105*1000</x:f>
        <x:v>13657300</x:v>
      </x:c>
      <x:c r="E105" s="10" t="str">
        <x:f>IF(ISNUMBER('原始月度'!F105),'原始月度'!F105*1000,"")</x:f>
      </x:c>
      <x:c r="F105" s="10" t="str">
        <x:f>IF(ISNUMBER('原始月度'!G105),'原始月度'!G105,"")</x:f>
      </x:c>
      <x:c r="G105" s="2" t="str">
        <x:v>原报非零值</x:v>
      </x:c>
      <x:c r="H105" s="2" t="str">
        <x:v>未披露</x:v>
      </x:c>
      <x:c r="I105" s="2" t="str">
        <x:v>未取得月度量</x:v>
      </x:c>
    </x:row>
    <x:row r="106" ht="25" customHeight="1">
      <x:c r="A106" s="7" t="d">
        <x:v>2009-09-01T00:00:00.000Z</x:v>
      </x:c>
      <x:c r="B106" s="9" t="n">
        <x:f>'原始月度'!C106*1000</x:f>
        <x:v>6853800</x:v>
      </x:c>
      <x:c r="C106" s="9" t="n">
        <x:f>IF('原始月度'!D106=0,"",'原始月度'!D106*1000)</x:f>
        <x:v>4068560</x:v>
      </x:c>
      <x:c r="D106" s="9" t="n">
        <x:f>'原始月度'!E106*1000</x:f>
        <x:v>7951300</x:v>
      </x:c>
      <x:c r="E106" s="9" t="str">
        <x:f>IF(ISNUMBER('原始月度'!F106),'原始月度'!F106*1000,"")</x:f>
      </x:c>
      <x:c r="F106" s="9" t="str">
        <x:f>IF(ISNUMBER('原始月度'!G106),'原始月度'!G106,"")</x:f>
      </x:c>
      <x:c r="G106" s="6" t="str">
        <x:v>原报非零值</x:v>
      </x:c>
      <x:c r="H106" s="6" t="str">
        <x:v>未披露</x:v>
      </x:c>
      <x:c r="I106" s="6" t="str">
        <x:v>未取得月度量</x:v>
      </x:c>
    </x:row>
    <x:row r="107" ht="25" customHeight="1">
      <x:c r="A107" s="8" t="d">
        <x:v>2009-10-01T00:00:00.000Z</x:v>
      </x:c>
      <x:c r="B107" s="10" t="n">
        <x:f>'原始月度'!C107*1000</x:f>
        <x:v>10296500</x:v>
      </x:c>
      <x:c r="C107" s="10" t="n">
        <x:f>IF('原始月度'!D107=0,"",'原始月度'!D107*1000)</x:f>
        <x:v>13263200</x:v>
      </x:c>
      <x:c r="D107" s="10" t="n">
        <x:f>'原始月度'!E107*1000</x:f>
        <x:v>13369000</x:v>
      </x:c>
      <x:c r="E107" s="10" t="str">
        <x:f>IF(ISNUMBER('原始月度'!F107),'原始月度'!F107*1000,"")</x:f>
      </x:c>
      <x:c r="F107" s="10" t="str">
        <x:f>IF(ISNUMBER('原始月度'!G107),'原始月度'!G107,"")</x:f>
      </x:c>
      <x:c r="G107" s="2" t="str">
        <x:v>原报非零值</x:v>
      </x:c>
      <x:c r="H107" s="2" t="str">
        <x:v>未披露</x:v>
      </x:c>
      <x:c r="I107" s="2" t="str">
        <x:v>未取得月度量</x:v>
      </x:c>
    </x:row>
    <x:row r="108" ht="25" customHeight="1">
      <x:c r="A108" s="7" t="d">
        <x:v>2009-11-01T00:00:00.000Z</x:v>
      </x:c>
      <x:c r="B108" s="9" t="n">
        <x:f>'原始月度'!C108*1000</x:f>
        <x:v>14764300</x:v>
      </x:c>
      <x:c r="C108" s="9" t="n">
        <x:f>IF('原始月度'!D108=0,"",'原始月度'!D108*1000)</x:f>
        <x:v>6743810</x:v>
      </x:c>
      <x:c r="D108" s="9" t="n">
        <x:f>'原始月度'!E108*1000</x:f>
        <x:v>5715300</x:v>
      </x:c>
      <x:c r="E108" s="9" t="str">
        <x:f>IF(ISNUMBER('原始月度'!F108),'原始月度'!F108*1000,"")</x:f>
      </x:c>
      <x:c r="F108" s="9" t="str">
        <x:f>IF(ISNUMBER('原始月度'!G108),'原始月度'!G108,"")</x:f>
      </x:c>
      <x:c r="G108" s="6" t="str">
        <x:v>原报非零值</x:v>
      </x:c>
      <x:c r="H108" s="6" t="str">
        <x:v>未披露</x:v>
      </x:c>
      <x:c r="I108" s="6" t="str">
        <x:v>未取得月度量</x:v>
      </x:c>
    </x:row>
    <x:row r="109" ht="25" customHeight="1">
      <x:c r="A109" s="8" t="d">
        <x:v>2009-12-01T00:00:00.000Z</x:v>
      </x:c>
      <x:c r="B109" s="10" t="n">
        <x:f>'原始月度'!C109*1000</x:f>
        <x:v>4156399.9999999995</x:v>
      </x:c>
      <x:c r="C109" s="10" t="n">
        <x:f>IF('原始月度'!D109=0,"",'原始月度'!D109*1000)</x:f>
        <x:v>11846890</x:v>
      </x:c>
      <x:c r="D109" s="10" t="n">
        <x:f>'原始月度'!E109*1000</x:f>
        <x:v>11867300</x:v>
      </x:c>
      <x:c r="E109" s="10" t="str">
        <x:f>IF(ISNUMBER('原始月度'!F109),'原始月度'!F109*1000,"")</x:f>
      </x:c>
      <x:c r="F109" s="10" t="str">
        <x:f>IF(ISNUMBER('原始月度'!G109),'原始月度'!G109,"")</x:f>
      </x:c>
      <x:c r="G109" s="2" t="str">
        <x:v>原报非零值</x:v>
      </x:c>
      <x:c r="H109" s="2" t="str">
        <x:v>未披露</x:v>
      </x:c>
      <x:c r="I109" s="2" t="str">
        <x:v>未取得月度量</x:v>
      </x:c>
    </x:row>
    <x:row r="110" ht="25" customHeight="1">
      <x:c r="A110" s="7" t="d">
        <x:v>2010-01-01T00:00:00.000Z</x:v>
      </x:c>
      <x:c r="B110" s="9" t="n">
        <x:f>'原始月度'!C110*1000</x:f>
        <x:v>9990100</x:v>
      </x:c>
      <x:c r="C110" s="9" t="n">
        <x:f>IF('原始月度'!D110=0,"",'原始月度'!D110*1000)</x:f>
        <x:v>14934460</x:v>
      </x:c>
      <x:c r="D110" s="9" t="n">
        <x:f>'原始月度'!E110*1000</x:f>
        <x:v>18454120</x:v>
      </x:c>
      <x:c r="E110" s="9" t="str">
        <x:f>IF(ISNUMBER('原始月度'!F110),'原始月度'!F110*1000,"")</x:f>
      </x:c>
      <x:c r="F110" s="9" t="str">
        <x:f>IF(ISNUMBER('原始月度'!G110),'原始月度'!G110,"")</x:f>
      </x:c>
      <x:c r="G110" s="6" t="str">
        <x:v>原报非零值</x:v>
      </x:c>
      <x:c r="H110" s="6" t="str">
        <x:v>未披露</x:v>
      </x:c>
      <x:c r="I110" s="6" t="str">
        <x:v>未取得月度量</x:v>
      </x:c>
    </x:row>
    <x:row r="111" ht="25" customHeight="1">
      <x:c r="A111" s="8" t="d">
        <x:v>2010-02-01T00:00:00.000Z</x:v>
      </x:c>
      <x:c r="B111" s="10" t="n">
        <x:f>'原始月度'!C111*1000</x:f>
        <x:v>3129530</x:v>
      </x:c>
      <x:c r="C111" s="10" t="n">
        <x:f>IF('原始月度'!D111=0,"",'原始月度'!D111*1000)</x:f>
        <x:v>9045940</x:v>
      </x:c>
      <x:c r="D111" s="10" t="n">
        <x:f>'原始月度'!E111*1000</x:f>
        <x:v>11187900</x:v>
      </x:c>
      <x:c r="E111" s="10" t="str">
        <x:f>IF(ISNUMBER('原始月度'!F111),'原始月度'!F111*1000,"")</x:f>
      </x:c>
      <x:c r="F111" s="10" t="str">
        <x:f>IF(ISNUMBER('原始月度'!G111),'原始月度'!G111,"")</x:f>
      </x:c>
      <x:c r="G111" s="2" t="str">
        <x:v>原报非零值</x:v>
      </x:c>
      <x:c r="H111" s="2" t="str">
        <x:v>未披露</x:v>
      </x:c>
      <x:c r="I111" s="2" t="str">
        <x:v>未取得月度量</x:v>
      </x:c>
    </x:row>
    <x:row r="112" ht="25" customHeight="1">
      <x:c r="A112" s="7" t="d">
        <x:v>2010-03-01T00:00:00.000Z</x:v>
      </x:c>
      <x:c r="B112" s="9" t="n">
        <x:f>'原始月度'!C112*1000</x:f>
        <x:v>4555380</x:v>
      </x:c>
      <x:c r="C112" s="9" t="n">
        <x:f>IF('原始月度'!D112=0,"",'原始月度'!D112*1000)</x:f>
        <x:v>13643700</x:v>
      </x:c>
      <x:c r="D112" s="9" t="n">
        <x:f>'原始月度'!E112*1000</x:f>
        <x:v>16167870</x:v>
      </x:c>
      <x:c r="E112" s="9" t="str">
        <x:f>IF(ISNUMBER('原始月度'!F112),'原始月度'!F112*1000,"")</x:f>
      </x:c>
      <x:c r="F112" s="9" t="str">
        <x:f>IF(ISNUMBER('原始月度'!G112),'原始月度'!G112,"")</x:f>
      </x:c>
      <x:c r="G112" s="6" t="str">
        <x:v>原报非零值</x:v>
      </x:c>
      <x:c r="H112" s="6" t="str">
        <x:v>未披露</x:v>
      </x:c>
      <x:c r="I112" s="6" t="str">
        <x:v>未取得月度量</x:v>
      </x:c>
    </x:row>
    <x:row r="113" ht="25" customHeight="1">
      <x:c r="A113" s="8" t="d">
        <x:v>2010-04-01T00:00:00.000Z</x:v>
      </x:c>
      <x:c r="B113" s="10" t="n">
        <x:f>'原始月度'!C113*1000</x:f>
        <x:v>11587040</x:v>
      </x:c>
      <x:c r="C113" s="10" t="n">
        <x:f>IF('原始月度'!D113=0,"",'原始月度'!D113*1000)</x:f>
        <x:v>14259800</x:v>
      </x:c>
      <x:c r="D113" s="10" t="n">
        <x:f>'原始月度'!E113*1000</x:f>
        <x:v>14766230</x:v>
      </x:c>
      <x:c r="E113" s="10" t="str">
        <x:f>IF(ISNUMBER('原始月度'!F113),'原始月度'!F113*1000,"")</x:f>
      </x:c>
      <x:c r="F113" s="10" t="str">
        <x:f>IF(ISNUMBER('原始月度'!G113),'原始月度'!G113,"")</x:f>
      </x:c>
      <x:c r="G113" s="2" t="str">
        <x:v>原报非零值</x:v>
      </x:c>
      <x:c r="H113" s="2" t="str">
        <x:v>未披露</x:v>
      </x:c>
      <x:c r="I113" s="2" t="str">
        <x:v>未取得月度量</x:v>
      </x:c>
    </x:row>
    <x:row r="114" ht="25" customHeight="1">
      <x:c r="A114" s="7" t="d">
        <x:v>2010-05-01T00:00:00.000Z</x:v>
      </x:c>
      <x:c r="B114" s="9" t="n">
        <x:f>'原始月度'!C114*1000</x:f>
        <x:v>6989050</x:v>
      </x:c>
      <x:c r="C114" s="9" t="n">
        <x:f>IF('原始月度'!D114=0,"",'原始月度'!D114*1000)</x:f>
        <x:v>10966000</x:v>
      </x:c>
      <x:c r="D114" s="9" t="n">
        <x:f>'原始月度'!E114*1000</x:f>
        <x:v>12927150</x:v>
      </x:c>
      <x:c r="E114" s="9" t="str">
        <x:f>IF(ISNUMBER('原始月度'!F114),'原始月度'!F114*1000,"")</x:f>
      </x:c>
      <x:c r="F114" s="9" t="str">
        <x:f>IF(ISNUMBER('原始月度'!G114),'原始月度'!G114,"")</x:f>
      </x:c>
      <x:c r="G114" s="6" t="str">
        <x:v>原报非零值</x:v>
      </x:c>
      <x:c r="H114" s="6" t="str">
        <x:v>未披露</x:v>
      </x:c>
      <x:c r="I114" s="6" t="str">
        <x:v>未取得月度量</x:v>
      </x:c>
    </x:row>
    <x:row r="115" ht="25" customHeight="1">
      <x:c r="A115" s="8" t="d">
        <x:v>2010-06-01T00:00:00.000Z</x:v>
      </x:c>
      <x:c r="B115" s="10" t="n">
        <x:f>'原始月度'!C115*1000</x:f>
        <x:v>15804110</x:v>
      </x:c>
      <x:c r="C115" s="10" t="n">
        <x:f>IF('原始月度'!D115=0,"",'原始月度'!D115*1000)</x:f>
        <x:v>12117070</x:v>
      </x:c>
      <x:c r="D115" s="10" t="n">
        <x:f>'原始月度'!E115*1000</x:f>
        <x:v>14247730</x:v>
      </x:c>
      <x:c r="E115" s="10" t="str">
        <x:f>IF(ISNUMBER('原始月度'!F115),'原始月度'!F115*1000,"")</x:f>
      </x:c>
      <x:c r="F115" s="10" t="str">
        <x:f>IF(ISNUMBER('原始月度'!G115),'原始月度'!G115,"")</x:f>
      </x:c>
      <x:c r="G115" s="2" t="str">
        <x:v>原报非零值</x:v>
      </x:c>
      <x:c r="H115" s="2" t="str">
        <x:v>未披露</x:v>
      </x:c>
      <x:c r="I115" s="2" t="str">
        <x:v>未取得月度量</x:v>
      </x:c>
    </x:row>
    <x:row r="116" ht="25" customHeight="1">
      <x:c r="A116" s="7" t="d">
        <x:v>2010-07-01T00:00:00.000Z</x:v>
      </x:c>
      <x:c r="B116" s="9" t="n">
        <x:f>'原始月度'!C116*1000</x:f>
        <x:v>8048950</x:v>
      </x:c>
      <x:c r="C116" s="9" t="n">
        <x:f>IF('原始月度'!D116=0,"",'原始月度'!D116*1000)</x:f>
        <x:v>8161160</x:v>
      </x:c>
      <x:c r="D116" s="9" t="n">
        <x:f>'原始月度'!E116*1000</x:f>
        <x:v>10712460</x:v>
      </x:c>
      <x:c r="E116" s="9" t="str">
        <x:f>IF(ISNUMBER('原始月度'!F116),'原始月度'!F116*1000,"")</x:f>
      </x:c>
      <x:c r="F116" s="9" t="str">
        <x:f>IF(ISNUMBER('原始月度'!G116),'原始月度'!G116,"")</x:f>
      </x:c>
      <x:c r="G116" s="6" t="str">
        <x:v>原报非零值</x:v>
      </x:c>
      <x:c r="H116" s="6" t="str">
        <x:v>未披露</x:v>
      </x:c>
      <x:c r="I116" s="6" t="str">
        <x:v>未取得月度量</x:v>
      </x:c>
    </x:row>
    <x:row r="117" ht="25" customHeight="1">
      <x:c r="A117" s="8" t="d">
        <x:v>2010-08-01T00:00:00.000Z</x:v>
      </x:c>
      <x:c r="B117" s="10" t="n">
        <x:f>'原始月度'!C117*1000</x:f>
        <x:v>12356320</x:v>
      </x:c>
      <x:c r="C117" s="10" t="n">
        <x:f>IF('原始月度'!D117=0,"",'原始月度'!D117*1000)</x:f>
        <x:v>11765510</x:v>
      </x:c>
      <x:c r="D117" s="10" t="n">
        <x:f>'原始月度'!E117*1000</x:f>
        <x:v>15202420</x:v>
      </x:c>
      <x:c r="E117" s="10" t="str">
        <x:f>IF(ISNUMBER('原始月度'!F117),'原始月度'!F117*1000,"")</x:f>
      </x:c>
      <x:c r="F117" s="10" t="str">
        <x:f>IF(ISNUMBER('原始月度'!G117),'原始月度'!G117,"")</x:f>
      </x:c>
      <x:c r="G117" s="2" t="str">
        <x:v>原报非零值</x:v>
      </x:c>
      <x:c r="H117" s="2" t="str">
        <x:v>未披露</x:v>
      </x:c>
      <x:c r="I117" s="2" t="str">
        <x:v>未取得月度量</x:v>
      </x:c>
    </x:row>
    <x:row r="118" ht="25" customHeight="1">
      <x:c r="A118" s="7" t="d">
        <x:v>2010-09-01T00:00:00.000Z</x:v>
      </x:c>
      <x:c r="B118" s="9" t="n">
        <x:f>'原始月度'!C118*1000</x:f>
        <x:v>12209000</x:v>
      </x:c>
      <x:c r="C118" s="9" t="n">
        <x:f>IF('原始月度'!D118=0,"",'原始月度'!D118*1000)</x:f>
        <x:v>10265840</x:v>
      </x:c>
      <x:c r="D118" s="9" t="n">
        <x:f>'原始月度'!E118*1000</x:f>
        <x:v>11396500</x:v>
      </x:c>
      <x:c r="E118" s="9" t="str">
        <x:f>IF(ISNUMBER('原始月度'!F118),'原始月度'!F118*1000,"")</x:f>
      </x:c>
      <x:c r="F118" s="9" t="str">
        <x:f>IF(ISNUMBER('原始月度'!G118),'原始月度'!G118,"")</x:f>
      </x:c>
      <x:c r="G118" s="6" t="str">
        <x:v>原报非零值</x:v>
      </x:c>
      <x:c r="H118" s="6" t="str">
        <x:v>未披露</x:v>
      </x:c>
      <x:c r="I118" s="6" t="str">
        <x:v>未取得月度量</x:v>
      </x:c>
    </x:row>
    <x:row r="119" ht="25" customHeight="1">
      <x:c r="A119" s="8" t="d">
        <x:v>2010-10-01T00:00:00.000Z</x:v>
      </x:c>
      <x:c r="B119" s="10" t="n">
        <x:f>'原始月度'!C119*1000</x:f>
        <x:v>5692110</x:v>
      </x:c>
      <x:c r="C119" s="10" t="n">
        <x:f>IF('原始月度'!D119=0,"",'原始月度'!D119*1000)</x:f>
        <x:v>10016310</x:v>
      </x:c>
      <x:c r="D119" s="10" t="n">
        <x:f>'原始月度'!E119*1000</x:f>
        <x:v>12544520</x:v>
      </x:c>
      <x:c r="E119" s="10" t="str">
        <x:f>IF(ISNUMBER('原始月度'!F119),'原始月度'!F119*1000,"")</x:f>
      </x:c>
      <x:c r="F119" s="10" t="str">
        <x:f>IF(ISNUMBER('原始月度'!G119),'原始月度'!G119,"")</x:f>
      </x:c>
      <x:c r="G119" s="2" t="str">
        <x:v>原报非零值</x:v>
      </x:c>
      <x:c r="H119" s="2" t="str">
        <x:v>未披露</x:v>
      </x:c>
      <x:c r="I119" s="2" t="str">
        <x:v>未取得月度量</x:v>
      </x:c>
    </x:row>
    <x:row r="120" ht="25" customHeight="1">
      <x:c r="A120" s="7" t="d">
        <x:v>2010-11-01T00:00:00.000Z</x:v>
      </x:c>
      <x:c r="B120" s="9" t="n">
        <x:f>'原始月度'!C120*1000</x:f>
        <x:v>10526030</x:v>
      </x:c>
      <x:c r="C120" s="9" t="n">
        <x:f>IF('原始月度'!D120=0,"",'原始月度'!D120*1000)</x:f>
        <x:v>17183990</x:v>
      </x:c>
      <x:c r="D120" s="9" t="n">
        <x:f>'原始月度'!E120*1000</x:f>
        <x:v>18980090</x:v>
      </x:c>
      <x:c r="E120" s="9" t="str">
        <x:f>IF(ISNUMBER('原始月度'!F120),'原始月度'!F120*1000,"")</x:f>
      </x:c>
      <x:c r="F120" s="9" t="str">
        <x:f>IF(ISNUMBER('原始月度'!G120),'原始月度'!G120,"")</x:f>
      </x:c>
      <x:c r="G120" s="6" t="str">
        <x:v>原报非零值</x:v>
      </x:c>
      <x:c r="H120" s="6" t="str">
        <x:v>未披露</x:v>
      </x:c>
      <x:c r="I120" s="6" t="str">
        <x:v>未取得月度量</x:v>
      </x:c>
    </x:row>
    <x:row r="121" ht="25" customHeight="1">
      <x:c r="A121" s="8" t="d">
        <x:v>2010-12-01T00:00:00.000Z</x:v>
      </x:c>
      <x:c r="B121" s="10" t="n">
        <x:f>'原始月度'!C121*1000</x:f>
        <x:v>4006400</x:v>
      </x:c>
      <x:c r="C121" s="10" t="n">
        <x:f>IF('原始月度'!D121=0,"",'原始月度'!D121*1000)</x:f>
        <x:v>13529880</x:v>
      </x:c>
      <x:c r="D121" s="10" t="n">
        <x:f>'原始月度'!E121*1000</x:f>
        <x:v>14827220</x:v>
      </x:c>
      <x:c r="E121" s="10" t="str">
        <x:f>IF(ISNUMBER('原始月度'!F121),'原始月度'!F121*1000,"")</x:f>
      </x:c>
      <x:c r="F121" s="10" t="str">
        <x:f>IF(ISNUMBER('原始月度'!G121),'原始月度'!G121,"")</x:f>
      </x:c>
      <x:c r="G121" s="2" t="str">
        <x:v>原报非零值</x:v>
      </x:c>
      <x:c r="H121" s="2" t="str">
        <x:v>未披露</x:v>
      </x:c>
      <x:c r="I121" s="2" t="str">
        <x:v>未取得月度量</x:v>
      </x:c>
    </x:row>
    <x:row r="122" ht="25" customHeight="1">
      <x:c r="A122" s="7" t="d">
        <x:v>2011-01-01T00:00:00.000Z</x:v>
      </x:c>
      <x:c r="B122" s="9" t="n">
        <x:f>'原始月度'!C122*1000</x:f>
        <x:v>5117500</x:v>
      </x:c>
      <x:c r="C122" s="9" t="n">
        <x:f>IF('原始月度'!D122=0,"",'原始月度'!D122*1000)</x:f>
        <x:v>14911170</x:v>
      </x:c>
      <x:c r="D122" s="9" t="n">
        <x:f>'原始月度'!E122*1000</x:f>
        <x:v>15854980</x:v>
      </x:c>
      <x:c r="E122" s="9" t="str">
        <x:f>IF(ISNUMBER('原始月度'!F122),'原始月度'!F122*1000,"")</x:f>
      </x:c>
      <x:c r="F122" s="9" t="str">
        <x:f>IF(ISNUMBER('原始月度'!G122),'原始月度'!G122,"")</x:f>
      </x:c>
      <x:c r="G122" s="6" t="str">
        <x:v>原报非零值</x:v>
      </x:c>
      <x:c r="H122" s="6" t="str">
        <x:v>未披露</x:v>
      </x:c>
      <x:c r="I122" s="6" t="str">
        <x:v>未取得月度量</x:v>
      </x:c>
    </x:row>
    <x:row r="123" ht="25" customHeight="1">
      <x:c r="A123" s="8" t="d">
        <x:v>2011-02-01T00:00:00.000Z</x:v>
      </x:c>
      <x:c r="B123" s="10" t="n">
        <x:f>'原始月度'!C123*1000</x:f>
        <x:v>3937520</x:v>
      </x:c>
      <x:c r="C123" s="10" t="n">
        <x:f>IF('原始月度'!D123=0,"",'原始月度'!D123*1000)</x:f>
        <x:v>20420420</x:v>
      </x:c>
      <x:c r="D123" s="10" t="n">
        <x:f>'原始月度'!E123*1000</x:f>
        <x:v>21291700</x:v>
      </x:c>
      <x:c r="E123" s="10" t="str">
        <x:f>IF(ISNUMBER('原始月度'!F123),'原始月度'!F123*1000,"")</x:f>
      </x:c>
      <x:c r="F123" s="10" t="str">
        <x:f>IF(ISNUMBER('原始月度'!G123),'原始月度'!G123,"")</x:f>
      </x:c>
      <x:c r="G123" s="2" t="str">
        <x:v>原报非零值</x:v>
      </x:c>
      <x:c r="H123" s="2" t="str">
        <x:v>未披露</x:v>
      </x:c>
      <x:c r="I123" s="2" t="str">
        <x:v>未取得月度量</x:v>
      </x:c>
    </x:row>
    <x:row r="124" ht="25" customHeight="1">
      <x:c r="A124" s="7" t="d">
        <x:v>2011-03-01T00:00:00.000Z</x:v>
      </x:c>
      <x:c r="B124" s="9" t="n">
        <x:f>'原始月度'!C124*1000</x:f>
        <x:v>4988640</x:v>
      </x:c>
      <x:c r="C124" s="9" t="n">
        <x:f>IF('原始月度'!D124=0,"",'原始月度'!D124*1000)</x:f>
        <x:v>30477560</x:v>
      </x:c>
      <x:c r="D124" s="9" t="n">
        <x:f>'原始月度'!E124*1000</x:f>
        <x:v>31720870</x:v>
      </x:c>
      <x:c r="E124" s="9" t="str">
        <x:f>IF(ISNUMBER('原始月度'!F124),'原始月度'!F124*1000,"")</x:f>
      </x:c>
      <x:c r="F124" s="9" t="str">
        <x:f>IF(ISNUMBER('原始月度'!G124),'原始月度'!G124,"")</x:f>
      </x:c>
      <x:c r="G124" s="6" t="str">
        <x:v>原报非零值</x:v>
      </x:c>
      <x:c r="H124" s="6" t="str">
        <x:v>未披露</x:v>
      </x:c>
      <x:c r="I124" s="6" t="str">
        <x:v>未取得月度量</x:v>
      </x:c>
    </x:row>
    <x:row r="125" ht="25" customHeight="1">
      <x:c r="A125" s="8" t="d">
        <x:v>2011-04-01T00:00:00.000Z</x:v>
      </x:c>
      <x:c r="B125" s="10" t="n">
        <x:f>'原始月度'!C125*1000</x:f>
        <x:v>8397690</x:v>
      </x:c>
      <x:c r="C125" s="10" t="n">
        <x:f>IF('原始月度'!D125=0,"",'原始月度'!D125*1000)</x:f>
        <x:v>16233000</x:v>
      </x:c>
      <x:c r="D125" s="10" t="n">
        <x:f>'原始月度'!E125*1000</x:f>
        <x:v>16508050</x:v>
      </x:c>
      <x:c r="E125" s="10" t="str">
        <x:f>IF(ISNUMBER('原始月度'!F125),'原始月度'!F125*1000,"")</x:f>
      </x:c>
      <x:c r="F125" s="10" t="str">
        <x:f>IF(ISNUMBER('原始月度'!G125),'原始月度'!G125,"")</x:f>
      </x:c>
      <x:c r="G125" s="2" t="str">
        <x:v>原报非零值</x:v>
      </x:c>
      <x:c r="H125" s="2" t="str">
        <x:v>未披露</x:v>
      </x:c>
      <x:c r="I125" s="2" t="str">
        <x:v>未取得月度量</x:v>
      </x:c>
    </x:row>
    <x:row r="126" ht="25" customHeight="1">
      <x:c r="A126" s="7" t="d">
        <x:v>2011-05-01T00:00:00.000Z</x:v>
      </x:c>
      <x:c r="B126" s="9" t="n">
        <x:f>'原始月度'!C126*1000</x:f>
        <x:v>15824950</x:v>
      </x:c>
      <x:c r="C126" s="9" t="n">
        <x:f>IF('原始月度'!D126=0,"",'原始月度'!D126*1000)</x:f>
        <x:v>25940300</x:v>
      </x:c>
      <x:c r="D126" s="9" t="n">
        <x:f>'原始月度'!E126*1000</x:f>
        <x:v>26096930</x:v>
      </x:c>
      <x:c r="E126" s="9" t="str">
        <x:f>IF(ISNUMBER('原始月度'!F126),'原始月度'!F126*1000,"")</x:f>
      </x:c>
      <x:c r="F126" s="9" t="str">
        <x:f>IF(ISNUMBER('原始月度'!G126),'原始月度'!G126,"")</x:f>
      </x:c>
      <x:c r="G126" s="6" t="str">
        <x:v>原报非零值</x:v>
      </x:c>
      <x:c r="H126" s="6" t="str">
        <x:v>未披露</x:v>
      </x:c>
      <x:c r="I126" s="6" t="str">
        <x:v>未取得月度量</x:v>
      </x:c>
    </x:row>
    <x:row r="127" ht="25" customHeight="1">
      <x:c r="A127" s="8" t="d">
        <x:v>2011-06-01T00:00:00.000Z</x:v>
      </x:c>
      <x:c r="B127" s="10" t="n">
        <x:f>'原始月度'!C127*1000</x:f>
        <x:v>65407210</x:v>
      </x:c>
      <x:c r="C127" s="10" t="n">
        <x:f>IF('原始月度'!D127=0,"",'原始月度'!D127*1000)</x:f>
        <x:v>25379790</x:v>
      </x:c>
      <x:c r="D127" s="10" t="n">
        <x:f>'原始月度'!E127*1000</x:f>
        <x:v>34163810</x:v>
      </x:c>
      <x:c r="E127" s="10" t="str">
        <x:f>IF(ISNUMBER('原始月度'!F127),'原始月度'!F127*1000,"")</x:f>
      </x:c>
      <x:c r="F127" s="10" t="str">
        <x:f>IF(ISNUMBER('原始月度'!G127),'原始月度'!G127,"")</x:f>
      </x:c>
      <x:c r="G127" s="2" t="str">
        <x:v>原报非零值</x:v>
      </x:c>
      <x:c r="H127" s="2" t="str">
        <x:v>未披露</x:v>
      </x:c>
      <x:c r="I127" s="2" t="str">
        <x:v>未取得月度量</x:v>
      </x:c>
    </x:row>
    <x:row r="128" ht="25" customHeight="1">
      <x:c r="A128" s="7" t="d">
        <x:v>2011-07-01T00:00:00.000Z</x:v>
      </x:c>
      <x:c r="B128" s="9" t="n">
        <x:f>'原始月度'!C128*1000</x:f>
        <x:v>14559880</x:v>
      </x:c>
      <x:c r="C128" s="9" t="n">
        <x:f>IF('原始月度'!D128=0,"",'原始月度'!D128*1000)</x:f>
        <x:v>24112560</x:v>
      </x:c>
      <x:c r="D128" s="9" t="n">
        <x:f>'原始月度'!E128*1000</x:f>
        <x:v>28774570</x:v>
      </x:c>
      <x:c r="E128" s="9" t="str">
        <x:f>IF(ISNUMBER('原始月度'!F128),'原始月度'!F128*1000,"")</x:f>
      </x:c>
      <x:c r="F128" s="9" t="str">
        <x:f>IF(ISNUMBER('原始月度'!G128),'原始月度'!G128,"")</x:f>
      </x:c>
      <x:c r="G128" s="6" t="str">
        <x:v>原报非零值</x:v>
      </x:c>
      <x:c r="H128" s="6" t="str">
        <x:v>未披露</x:v>
      </x:c>
      <x:c r="I128" s="6" t="str">
        <x:v>未取得月度量</x:v>
      </x:c>
    </x:row>
    <x:row r="129" ht="25" customHeight="1">
      <x:c r="A129" s="8" t="d">
        <x:v>2011-08-01T00:00:00.000Z</x:v>
      </x:c>
      <x:c r="B129" s="10" t="n">
        <x:f>'原始月度'!C129*1000</x:f>
        <x:v>30513900</x:v>
      </x:c>
      <x:c r="C129" s="10" t="n">
        <x:f>IF('原始月度'!D129=0,"",'原始月度'!D129*1000)</x:f>
        <x:v>18847830</x:v>
      </x:c>
      <x:c r="D129" s="10" t="n">
        <x:f>'原始月度'!E129*1000</x:f>
        <x:v>23511300</x:v>
      </x:c>
      <x:c r="E129" s="10" t="str">
        <x:f>IF(ISNUMBER('原始月度'!F129),'原始月度'!F129*1000,"")</x:f>
      </x:c>
      <x:c r="F129" s="10" t="str">
        <x:f>IF(ISNUMBER('原始月度'!G129),'原始月度'!G129,"")</x:f>
      </x:c>
      <x:c r="G129" s="2" t="str">
        <x:v>原报非零值</x:v>
      </x:c>
      <x:c r="H129" s="2" t="str">
        <x:v>未披露</x:v>
      </x:c>
      <x:c r="I129" s="2" t="str">
        <x:v>未取得月度量</x:v>
      </x:c>
    </x:row>
    <x:row r="130" ht="25" customHeight="1">
      <x:c r="A130" s="7" t="d">
        <x:v>2011-09-01T00:00:00.000Z</x:v>
      </x:c>
      <x:c r="B130" s="9" t="n">
        <x:f>'原始月度'!C130*1000</x:f>
        <x:v>11489150</x:v>
      </x:c>
      <x:c r="C130" s="9" t="n">
        <x:f>IF('原始月度'!D130=0,"",'原始月度'!D130*1000)</x:f>
        <x:v>19567430</x:v>
      </x:c>
      <x:c r="D130" s="9" t="n">
        <x:f>'原始月度'!E130*1000</x:f>
        <x:v>23085600</x:v>
      </x:c>
      <x:c r="E130" s="9" t="str">
        <x:f>IF(ISNUMBER('原始月度'!F130),'原始月度'!F130*1000,"")</x:f>
      </x:c>
      <x:c r="F130" s="9" t="str">
        <x:f>IF(ISNUMBER('原始月度'!G130),'原始月度'!G130,"")</x:f>
      </x:c>
      <x:c r="G130" s="6" t="str">
        <x:v>原报非零值</x:v>
      </x:c>
      <x:c r="H130" s="6" t="str">
        <x:v>未披露</x:v>
      </x:c>
      <x:c r="I130" s="6" t="str">
        <x:v>未取得月度量</x:v>
      </x:c>
    </x:row>
    <x:row r="131" ht="25" customHeight="1">
      <x:c r="A131" s="8" t="d">
        <x:v>2011-10-01T00:00:00.000Z</x:v>
      </x:c>
      <x:c r="B131" s="10" t="n">
        <x:f>'原始月度'!C131*1000</x:f>
        <x:v>33252070</x:v>
      </x:c>
      <x:c r="C131" s="10" t="n">
        <x:f>IF('原始月度'!D131=0,"",'原始月度'!D131*1000)</x:f>
        <x:v>20107830</x:v>
      </x:c>
      <x:c r="D131" s="10" t="n">
        <x:f>'原始月度'!E131*1000</x:f>
        <x:v>24630790</x:v>
      </x:c>
      <x:c r="E131" s="10" t="str">
        <x:f>IF(ISNUMBER('原始月度'!F131),'原始月度'!F131*1000,"")</x:f>
      </x:c>
      <x:c r="F131" s="10" t="str">
        <x:f>IF(ISNUMBER('原始月度'!G131),'原始月度'!G131,"")</x:f>
      </x:c>
      <x:c r="G131" s="2" t="str">
        <x:v>原报非零值</x:v>
      </x:c>
      <x:c r="H131" s="2" t="str">
        <x:v>未披露</x:v>
      </x:c>
      <x:c r="I131" s="2" t="str">
        <x:v>未取得月度量</x:v>
      </x:c>
    </x:row>
    <x:row r="132" ht="25" customHeight="1">
      <x:c r="A132" s="7" t="d">
        <x:v>2011-11-01T00:00:00.000Z</x:v>
      </x:c>
      <x:c r="B132" s="9" t="n">
        <x:f>'原始月度'!C132*1000</x:f>
        <x:v>28891030</x:v>
      </x:c>
      <x:c r="C132" s="9" t="n">
        <x:f>IF('原始月度'!D132=0,"",'原始月度'!D132*1000)</x:f>
        <x:v>17688970</x:v>
      </x:c>
      <x:c r="D132" s="9" t="n">
        <x:f>'原始月度'!E132*1000</x:f>
        <x:v>18556600</x:v>
      </x:c>
      <x:c r="E132" s="9" t="n">
        <x:f>IF(ISNUMBER('原始月度'!F132),'原始月度'!F132*1000,"")</x:f>
        <x:v>4457510</x:v>
      </x:c>
      <x:c r="F132" s="9" t="str">
        <x:f>IF(ISNUMBER('原始月度'!G132),'原始月度'!G132,"")</x:f>
      </x:c>
      <x:c r="G132" s="6" t="str">
        <x:v>原报非零值</x:v>
      </x:c>
      <x:c r="H132" s="6" t="str">
        <x:v>原报值</x:v>
      </x:c>
      <x:c r="I132" s="6" t="str">
        <x:v>未取得月度量</x:v>
      </x:c>
    </x:row>
    <x:row r="133" ht="25" customHeight="1">
      <x:c r="A133" s="8" t="d">
        <x:v>2011-12-01T00:00:00.000Z</x:v>
      </x:c>
      <x:c r="B133" s="10" t="n">
        <x:f>'原始月度'!C133*1000</x:f>
        <x:v>23503980</x:v>
      </x:c>
      <x:c r="C133" s="10" t="n">
        <x:f>IF('原始月度'!D133=0,"",'原始月度'!D133*1000)</x:f>
        <x:v>10016800</x:v>
      </x:c>
      <x:c r="D133" s="10" t="n">
        <x:f>'原始月度'!E133*1000</x:f>
        <x:v>11562990</x:v>
      </x:c>
      <x:c r="E133" s="10" t="n">
        <x:f>IF(ISNUMBER('原始月度'!F133),'原始月度'!F133*1000,"")</x:f>
        <x:v>10405530</x:v>
      </x:c>
      <x:c r="F133" s="10" t="str">
        <x:f>IF(ISNUMBER('原始月度'!G133),'原始月度'!G133,"")</x:f>
      </x:c>
      <x:c r="G133" s="2" t="str">
        <x:v>原报非零值</x:v>
      </x:c>
      <x:c r="H133" s="2" t="str">
        <x:v>原报值</x:v>
      </x:c>
      <x:c r="I133" s="2" t="str">
        <x:v>未取得月度量</x:v>
      </x:c>
    </x:row>
    <x:row r="134" ht="25" customHeight="1">
      <x:c r="A134" s="7" t="d">
        <x:v>2012-01-01T00:00:00.000Z</x:v>
      </x:c>
      <x:c r="B134" s="9" t="n">
        <x:f>'原始月度'!C134*1000</x:f>
        <x:v>30377180</x:v>
      </x:c>
      <x:c r="C134" s="9" t="n">
        <x:f>IF('原始月度'!D134=0,"",'原始月度'!D134*1000)</x:f>
        <x:v>21402690</x:v>
      </x:c>
      <x:c r="D134" s="9" t="n">
        <x:f>'原始月度'!E134*1000</x:f>
        <x:v>25749350</x:v>
      </x:c>
      <x:c r="E134" s="9" t="n">
        <x:f>IF(ISNUMBER('原始月度'!F134),'原始月度'!F134*1000,"")</x:f>
        <x:v>35647710</x:v>
      </x:c>
      <x:c r="F134" s="9" t="str">
        <x:f>IF(ISNUMBER('原始月度'!G134),'原始月度'!G134,"")</x:f>
      </x:c>
      <x:c r="G134" s="6" t="str">
        <x:v>原报非零值</x:v>
      </x:c>
      <x:c r="H134" s="6" t="str">
        <x:v>原报值</x:v>
      </x:c>
      <x:c r="I134" s="6" t="str">
        <x:v>未取得月度量</x:v>
      </x:c>
    </x:row>
    <x:row r="135" ht="25" customHeight="1">
      <x:c r="A135" s="8" t="d">
        <x:v>2012-02-01T00:00:00.000Z</x:v>
      </x:c>
      <x:c r="B135" s="10" t="n">
        <x:f>'原始月度'!C135*1000</x:f>
        <x:v>18233340</x:v>
      </x:c>
      <x:c r="C135" s="10" t="n">
        <x:f>IF('原始月度'!D135=0,"",'原始月度'!D135*1000)</x:f>
        <x:v>23529560</x:v>
      </x:c>
      <x:c r="D135" s="10" t="n">
        <x:f>'原始月度'!E135*1000</x:f>
        <x:v>25455450</x:v>
      </x:c>
      <x:c r="E135" s="10" t="n">
        <x:f>IF(ISNUMBER('原始月度'!F135),'原始月度'!F135*1000,"")</x:f>
        <x:v>9624300</x:v>
      </x:c>
      <x:c r="F135" s="10" t="str">
        <x:f>IF(ISNUMBER('原始月度'!G135),'原始月度'!G135,"")</x:f>
      </x:c>
      <x:c r="G135" s="2" t="str">
        <x:v>原报非零值</x:v>
      </x:c>
      <x:c r="H135" s="2" t="str">
        <x:v>原报值</x:v>
      </x:c>
      <x:c r="I135" s="2" t="str">
        <x:v>未取得月度量</x:v>
      </x:c>
    </x:row>
    <x:row r="136" ht="25" customHeight="1">
      <x:c r="A136" s="7" t="d">
        <x:v>2012-03-01T00:00:00.000Z</x:v>
      </x:c>
      <x:c r="B136" s="9" t="n">
        <x:f>'原始月度'!C136*1000</x:f>
        <x:v>21142520</x:v>
      </x:c>
      <x:c r="C136" s="9" t="n">
        <x:f>IF('原始月度'!D136=0,"",'原始月度'!D136*1000)</x:f>
        <x:v>34935700</x:v>
      </x:c>
      <x:c r="D136" s="9" t="n">
        <x:f>'原始月度'!E136*1000</x:f>
        <x:v>35249490</x:v>
      </x:c>
      <x:c r="E136" s="9" t="n">
        <x:f>IF(ISNUMBER('原始月度'!F136),'原始月度'!F136*1000,"")</x:f>
        <x:v>46500020</x:v>
      </x:c>
      <x:c r="F136" s="9" t="str">
        <x:f>IF(ISNUMBER('原始月度'!G136),'原始月度'!G136,"")</x:f>
      </x:c>
      <x:c r="G136" s="6" t="str">
        <x:v>原报非零值</x:v>
      </x:c>
      <x:c r="H136" s="6" t="str">
        <x:v>原报值</x:v>
      </x:c>
      <x:c r="I136" s="6" t="str">
        <x:v>未取得月度量</x:v>
      </x:c>
    </x:row>
    <x:row r="137" ht="25" customHeight="1">
      <x:c r="A137" s="8" t="d">
        <x:v>2012-04-01T00:00:00.000Z</x:v>
      </x:c>
      <x:c r="B137" s="10" t="n">
        <x:f>'原始月度'!C137*1000</x:f>
        <x:v>9132900</x:v>
      </x:c>
      <x:c r="C137" s="10" t="n">
        <x:f>IF('原始月度'!D137=0,"",'原始月度'!D137*1000)</x:f>
        <x:v>19449860</x:v>
      </x:c>
      <x:c r="D137" s="10" t="n">
        <x:f>'原始月度'!E137*1000</x:f>
        <x:v>19731020</x:v>
      </x:c>
      <x:c r="E137" s="10" t="n">
        <x:f>IF(ISNUMBER('原始月度'!F137),'原始月度'!F137*1000,"")</x:f>
        <x:v>40301790</x:v>
      </x:c>
      <x:c r="F137" s="10" t="str">
        <x:f>IF(ISNUMBER('原始月度'!G137),'原始月度'!G137,"")</x:f>
      </x:c>
      <x:c r="G137" s="2" t="str">
        <x:v>原报非零值</x:v>
      </x:c>
      <x:c r="H137" s="2" t="str">
        <x:v>原报值</x:v>
      </x:c>
      <x:c r="I137" s="2" t="str">
        <x:v>未取得月度量</x:v>
      </x:c>
    </x:row>
    <x:row r="138" ht="25" customHeight="1">
      <x:c r="A138" s="7" t="d">
        <x:v>2012-05-01T00:00:00.000Z</x:v>
      </x:c>
      <x:c r="B138" s="9" t="n">
        <x:f>'原始月度'!C138*1000</x:f>
        <x:v>41464440</x:v>
      </x:c>
      <x:c r="C138" s="9" t="n">
        <x:f>IF('原始月度'!D138=0,"",'原始月度'!D138*1000)</x:f>
        <x:v>1072330</x:v>
      </x:c>
      <x:c r="D138" s="9" t="n">
        <x:f>'原始月度'!E138*1000</x:f>
        <x:v>34023550</x:v>
      </x:c>
      <x:c r="E138" s="9" t="n">
        <x:f>IF(ISNUMBER('原始月度'!F138),'原始月度'!F138*1000,"")</x:f>
        <x:v>58423660</x:v>
      </x:c>
      <x:c r="F138" s="9" t="str">
        <x:f>IF(ISNUMBER('原始月度'!G138),'原始月度'!G138,"")</x:f>
      </x:c>
      <x:c r="G138" s="6" t="str">
        <x:v>原报非零值</x:v>
      </x:c>
      <x:c r="H138" s="6" t="str">
        <x:v>原报值</x:v>
      </x:c>
      <x:c r="I138" s="6" t="str">
        <x:v>未取得月度量</x:v>
      </x:c>
    </x:row>
    <x:row r="139" ht="25" customHeight="1">
      <x:c r="A139" s="8" t="d">
        <x:v>2012-06-01T00:00:00.000Z</x:v>
      </x:c>
      <x:c r="B139" s="10" t="n">
        <x:f>'原始月度'!C139*1000</x:f>
        <x:v>31987070</x:v>
      </x:c>
      <x:c r="C139" s="10" t="n">
        <x:f>IF('原始月度'!D139=0,"",'原始月度'!D139*1000)</x:f>
        <x:v>22837620</x:v>
      </x:c>
      <x:c r="D139" s="10" t="n">
        <x:f>'原始月度'!E139*1000</x:f>
        <x:v>23540020</x:v>
      </x:c>
      <x:c r="E139" s="10" t="n">
        <x:f>IF(ISNUMBER('原始月度'!F139),'原始月度'!F139*1000,"")</x:f>
        <x:v>10688790</x:v>
      </x:c>
      <x:c r="F139" s="10" t="str">
        <x:f>IF(ISNUMBER('原始月度'!G139),'原始月度'!G139,"")</x:f>
      </x:c>
      <x:c r="G139" s="2" t="str">
        <x:v>原报非零值</x:v>
      </x:c>
      <x:c r="H139" s="2" t="str">
        <x:v>原报值</x:v>
      </x:c>
      <x:c r="I139" s="2" t="str">
        <x:v>未取得月度量</x:v>
      </x:c>
    </x:row>
    <x:row r="140" ht="25" customHeight="1">
      <x:c r="A140" s="7" t="d">
        <x:v>2012-07-01T00:00:00.000Z</x:v>
      </x:c>
      <x:c r="B140" s="9" t="n">
        <x:f>'原始月度'!C140*1000</x:f>
        <x:v>34410310</x:v>
      </x:c>
      <x:c r="C140" s="9" t="n">
        <x:f>IF('原始月度'!D140=0,"",'原始月度'!D140*1000)</x:f>
        <x:v>33281720</x:v>
      </x:c>
      <x:c r="D140" s="9" t="n">
        <x:f>'原始月度'!E140*1000</x:f>
        <x:v>36786310</x:v>
      </x:c>
      <x:c r="E140" s="9" t="n">
        <x:f>IF(ISNUMBER('原始月度'!F140),'原始月度'!F140*1000,"")</x:f>
        <x:v>23355400</x:v>
      </x:c>
      <x:c r="F140" s="9" t="str">
        <x:f>IF(ISNUMBER('原始月度'!G140),'原始月度'!G140,"")</x:f>
      </x:c>
      <x:c r="G140" s="6" t="str">
        <x:v>原报非零值</x:v>
      </x:c>
      <x:c r="H140" s="6" t="str">
        <x:v>原报值</x:v>
      </x:c>
      <x:c r="I140" s="6" t="str">
        <x:v>未取得月度量</x:v>
      </x:c>
    </x:row>
    <x:row r="141" ht="25" customHeight="1">
      <x:c r="A141" s="8" t="d">
        <x:v>2012-08-01T00:00:00.000Z</x:v>
      </x:c>
      <x:c r="B141" s="10" t="n">
        <x:f>'原始月度'!C141*1000</x:f>
        <x:v>22335590</x:v>
      </x:c>
      <x:c r="C141" s="10" t="n">
        <x:f>IF('原始月度'!D141=0,"",'原始月度'!D141*1000)</x:f>
        <x:v>26417470</x:v>
      </x:c>
      <x:c r="D141" s="10" t="n">
        <x:f>'原始月度'!E141*1000</x:f>
        <x:v>31334760</x:v>
      </x:c>
      <x:c r="E141" s="10" t="n">
        <x:f>IF(ISNUMBER('原始月度'!F141),'原始月度'!F141*1000,"")</x:f>
        <x:v>20440000</x:v>
      </x:c>
      <x:c r="F141" s="10" t="str">
        <x:f>IF(ISNUMBER('原始月度'!G141),'原始月度'!G141,"")</x:f>
      </x:c>
      <x:c r="G141" s="2" t="str">
        <x:v>原报非零值</x:v>
      </x:c>
      <x:c r="H141" s="2" t="str">
        <x:v>原报值</x:v>
      </x:c>
      <x:c r="I141" s="2" t="str">
        <x:v>未取得月度量</x:v>
      </x:c>
    </x:row>
    <x:row r="142" ht="25" customHeight="1">
      <x:c r="A142" s="7" t="d">
        <x:v>2012-09-01T00:00:00.000Z</x:v>
      </x:c>
      <x:c r="B142" s="9" t="n">
        <x:f>'原始月度'!C142*1000</x:f>
        <x:v>39949660</x:v>
      </x:c>
      <x:c r="C142" s="9" t="n">
        <x:f>IF('原始月度'!D142=0,"",'原始月度'!D142*1000)</x:f>
        <x:v>22317740</x:v>
      </x:c>
      <x:c r="D142" s="9" t="n">
        <x:f>'原始月度'!E142*1000</x:f>
        <x:v>25453860</x:v>
      </x:c>
      <x:c r="E142" s="9" t="n">
        <x:f>IF(ISNUMBER('原始月度'!F142),'原始月度'!F142*1000,"")</x:f>
        <x:v>12138120</x:v>
      </x:c>
      <x:c r="F142" s="9" t="str">
        <x:f>IF(ISNUMBER('原始月度'!G142),'原始月度'!G142,"")</x:f>
      </x:c>
      <x:c r="G142" s="6" t="str">
        <x:v>原报非零值</x:v>
      </x:c>
      <x:c r="H142" s="6" t="str">
        <x:v>原报值</x:v>
      </x:c>
      <x:c r="I142" s="6" t="str">
        <x:v>未取得月度量</x:v>
      </x:c>
    </x:row>
    <x:row r="143" ht="25" customHeight="1">
      <x:c r="A143" s="8" t="d">
        <x:v>2012-10-01T00:00:00.000Z</x:v>
      </x:c>
      <x:c r="B143" s="10" t="n">
        <x:f>'原始月度'!C143*1000</x:f>
        <x:v>9499440</x:v>
      </x:c>
      <x:c r="C143" s="10" t="n">
        <x:f>IF('原始月度'!D143=0,"",'原始月度'!D143*1000)</x:f>
        <x:v>26731500</x:v>
      </x:c>
      <x:c r="D143" s="10" t="n">
        <x:f>'原始月度'!E143*1000</x:f>
        <x:v>29307370</x:v>
      </x:c>
      <x:c r="E143" s="10" t="n">
        <x:f>IF(ISNUMBER('原始月度'!F143),'原始月度'!F143*1000,"")</x:f>
        <x:v>7504630</x:v>
      </x:c>
      <x:c r="F143" s="10" t="str">
        <x:f>IF(ISNUMBER('原始月度'!G143),'原始月度'!G143,"")</x:f>
      </x:c>
      <x:c r="G143" s="2" t="str">
        <x:v>原报非零值</x:v>
      </x:c>
      <x:c r="H143" s="2" t="str">
        <x:v>原报值</x:v>
      </x:c>
      <x:c r="I143" s="2" t="str">
        <x:v>未取得月度量</x:v>
      </x:c>
    </x:row>
    <x:row r="144" ht="25" customHeight="1">
      <x:c r="A144" s="7" t="d">
        <x:v>2012-11-01T00:00:00.000Z</x:v>
      </x:c>
      <x:c r="B144" s="9" t="n">
        <x:f>'原始月度'!C144*1000</x:f>
        <x:v>34542890</x:v>
      </x:c>
      <x:c r="C144" s="9" t="n">
        <x:f>IF('原始月度'!D144=0,"",'原始月度'!D144*1000)</x:f>
        <x:v>24831170</x:v>
      </x:c>
      <x:c r="D144" s="9" t="n">
        <x:f>'原始月度'!E144*1000</x:f>
        <x:v>26674010</x:v>
      </x:c>
      <x:c r="E144" s="9" t="n">
        <x:f>IF(ISNUMBER('原始月度'!F144),'原始月度'!F144*1000,"")</x:f>
        <x:v>38132880</x:v>
      </x:c>
      <x:c r="F144" s="9" t="str">
        <x:f>IF(ISNUMBER('原始月度'!G144),'原始月度'!G144,"")</x:f>
      </x:c>
      <x:c r="G144" s="6" t="str">
        <x:v>原报非零值</x:v>
      </x:c>
      <x:c r="H144" s="6" t="str">
        <x:v>原报值</x:v>
      </x:c>
      <x:c r="I144" s="6" t="str">
        <x:v>未取得月度量</x:v>
      </x:c>
    </x:row>
    <x:row r="145" ht="25" customHeight="1">
      <x:c r="A145" s="8" t="d">
        <x:v>2012-12-01T00:00:00.000Z</x:v>
      </x:c>
      <x:c r="B145" s="10" t="n">
        <x:f>'原始月度'!C145*1000</x:f>
        <x:v>12971650</x:v>
      </x:c>
      <x:c r="C145" s="10" t="n">
        <x:f>IF('原始月度'!D145=0,"",'原始月度'!D145*1000)</x:f>
        <x:v>32945540</x:v>
      </x:c>
      <x:c r="D145" s="10" t="n">
        <x:f>'原始月度'!E145*1000</x:f>
        <x:v>33265580</x:v>
      </x:c>
      <x:c r="E145" s="10" t="n">
        <x:f>IF(ISNUMBER('原始月度'!F145),'原始月度'!F145*1000,"")</x:f>
        <x:v>54245000</x:v>
      </x:c>
      <x:c r="F145" s="10" t="str">
        <x:f>IF(ISNUMBER('原始月度'!G145),'原始月度'!G145,"")</x:f>
      </x:c>
      <x:c r="G145" s="2" t="str">
        <x:v>原报非零值</x:v>
      </x:c>
      <x:c r="H145" s="2" t="str">
        <x:v>原报值</x:v>
      </x:c>
      <x:c r="I145" s="2" t="str">
        <x:v>未取得月度量</x:v>
      </x:c>
    </x:row>
    <x:row r="146" ht="25" customHeight="1">
      <x:c r="A146" s="7" t="d">
        <x:v>2013-01-01T00:00:00.000Z</x:v>
      </x:c>
      <x:c r="B146" s="9" t="n">
        <x:f>'原始月度'!C146*1000</x:f>
        <x:v>19200710</x:v>
      </x:c>
      <x:c r="C146" s="9" t="n">
        <x:f>IF('原始月度'!D146=0,"",'原始月度'!D146*1000)</x:f>
        <x:v>34296140</x:v>
      </x:c>
      <x:c r="D146" s="9" t="n">
        <x:f>'原始月度'!E146*1000</x:f>
        <x:v>35017630</x:v>
      </x:c>
      <x:c r="E146" s="9" t="n">
        <x:f>IF(ISNUMBER('原始月度'!F146),'原始月度'!F146*1000,"")</x:f>
        <x:v>50732140</x:v>
      </x:c>
      <x:c r="F146" s="9" t="str">
        <x:f>IF(ISNUMBER('原始月度'!G146),'原始月度'!G146,"")</x:f>
      </x:c>
      <x:c r="G146" s="6" t="str">
        <x:v>原报非零值</x:v>
      </x:c>
      <x:c r="H146" s="6" t="str">
        <x:v>原报值</x:v>
      </x:c>
      <x:c r="I146" s="6" t="str">
        <x:v>未取得月度量</x:v>
      </x:c>
    </x:row>
    <x:row r="147" ht="25" customHeight="1">
      <x:c r="A147" s="8" t="d">
        <x:v>2013-02-01T00:00:00.000Z</x:v>
      </x:c>
      <x:c r="B147" s="10" t="n">
        <x:f>'原始月度'!C147*1000</x:f>
        <x:v>49876760</x:v>
      </x:c>
      <x:c r="C147" s="10" t="n">
        <x:f>IF('原始月度'!D147=0,"",'原始月度'!D147*1000)</x:f>
        <x:v>28490280</x:v>
      </x:c>
      <x:c r="D147" s="10" t="n">
        <x:f>'原始月度'!E147*1000</x:f>
        <x:v>29382830</x:v>
      </x:c>
      <x:c r="E147" s="10" t="n">
        <x:f>IF(ISNUMBER('原始月度'!F147),'原始月度'!F147*1000,"")</x:f>
        <x:v>109747040</x:v>
      </x:c>
      <x:c r="F147" s="10" t="str">
        <x:f>IF(ISNUMBER('原始月度'!G147),'原始月度'!G147,"")</x:f>
      </x:c>
      <x:c r="G147" s="2" t="str">
        <x:v>原报非零值</x:v>
      </x:c>
      <x:c r="H147" s="2" t="str">
        <x:v>原报值</x:v>
      </x:c>
      <x:c r="I147" s="2" t="str">
        <x:v>未取得月度量</x:v>
      </x:c>
    </x:row>
    <x:row r="148" ht="25" customHeight="1">
      <x:c r="A148" s="7" t="d">
        <x:v>2013-03-01T00:00:00.000Z</x:v>
      </x:c>
      <x:c r="B148" s="9" t="n">
        <x:f>'原始月度'!C148*1000</x:f>
        <x:v>27849570</x:v>
      </x:c>
      <x:c r="C148" s="9" t="n">
        <x:f>IF('原始月度'!D148=0,"",'原始月度'!D148*1000)</x:f>
        <x:v>31553830</x:v>
      </x:c>
      <x:c r="D148" s="9" t="n">
        <x:f>'原始月度'!E148*1000</x:f>
        <x:v>32142460</x:v>
      </x:c>
      <x:c r="E148" s="9" t="n">
        <x:f>IF(ISNUMBER('原始月度'!F148),'原始月度'!F148*1000,"")</x:f>
        <x:v>63000380</x:v>
      </x:c>
      <x:c r="F148" s="9" t="str">
        <x:f>IF(ISNUMBER('原始月度'!G148),'原始月度'!G148,"")</x:f>
      </x:c>
      <x:c r="G148" s="6" t="str">
        <x:v>原报非零值</x:v>
      </x:c>
      <x:c r="H148" s="6" t="str">
        <x:v>原报值</x:v>
      </x:c>
      <x:c r="I148" s="6" t="str">
        <x:v>未取得月度量</x:v>
      </x:c>
    </x:row>
    <x:row r="149" ht="25" customHeight="1">
      <x:c r="A149" s="8" t="d">
        <x:v>2013-04-01T00:00:00.000Z</x:v>
      </x:c>
      <x:c r="B149" s="10" t="n">
        <x:f>'原始月度'!C149*1000</x:f>
        <x:v>32912269.999999996</x:v>
      </x:c>
      <x:c r="C149" s="10" t="n">
        <x:f>IF('原始月度'!D149=0,"",'原始月度'!D149*1000)</x:f>
        <x:v>29916530</x:v>
      </x:c>
      <x:c r="D149" s="10" t="n">
        <x:f>'原始月度'!E149*1000</x:f>
        <x:v>30029230</x:v>
      </x:c>
      <x:c r="E149" s="10" t="n">
        <x:f>IF(ISNUMBER('原始月度'!F149),'原始月度'!F149*1000,"")</x:f>
        <x:v>100529800</x:v>
      </x:c>
      <x:c r="F149" s="10" t="str">
        <x:f>IF(ISNUMBER('原始月度'!G149),'原始月度'!G149,"")</x:f>
      </x:c>
      <x:c r="G149" s="2" t="str">
        <x:v>原报非零值</x:v>
      </x:c>
      <x:c r="H149" s="2" t="str">
        <x:v>原报值</x:v>
      </x:c>
      <x:c r="I149" s="2" t="str">
        <x:v>未取得月度量</x:v>
      </x:c>
    </x:row>
    <x:row r="150" ht="25" customHeight="1">
      <x:c r="A150" s="7" t="d">
        <x:v>2013-05-01T00:00:00.000Z</x:v>
      </x:c>
      <x:c r="B150" s="9" t="n">
        <x:f>'原始月度'!C150*1000</x:f>
        <x:v>33870230</x:v>
      </x:c>
      <x:c r="C150" s="9" t="n">
        <x:f>IF('原始月度'!D150=0,"",'原始月度'!D150*1000)</x:f>
        <x:v>31809470</x:v>
      </x:c>
      <x:c r="D150" s="9" t="n">
        <x:f>'原始月度'!E150*1000</x:f>
        <x:v>35539690</x:v>
      </x:c>
      <x:c r="E150" s="9" t="n">
        <x:f>IF(ISNUMBER('原始月度'!F150),'原始月度'!F150*1000,"")</x:f>
        <x:v>109454660</x:v>
      </x:c>
      <x:c r="F150" s="9" t="str">
        <x:f>IF(ISNUMBER('原始月度'!G150),'原始月度'!G150,"")</x:f>
      </x:c>
      <x:c r="G150" s="6" t="str">
        <x:v>原报非零值</x:v>
      </x:c>
      <x:c r="H150" s="6" t="str">
        <x:v>原报值</x:v>
      </x:c>
      <x:c r="I150" s="6" t="str">
        <x:v>未取得月度量</x:v>
      </x:c>
    </x:row>
    <x:row r="151" ht="25" customHeight="1">
      <x:c r="A151" s="8" t="d">
        <x:v>2013-06-01T00:00:00.000Z</x:v>
      </x:c>
      <x:c r="B151" s="10" t="n">
        <x:f>'原始月度'!C151*1000</x:f>
        <x:v>49641770</x:v>
      </x:c>
      <x:c r="C151" s="10" t="n">
        <x:f>IF('原始月度'!D151=0,"",'原始月度'!D151*1000)</x:f>
        <x:v>22805000</x:v>
      </x:c>
      <x:c r="D151" s="10" t="n">
        <x:f>'原始月度'!E151*1000</x:f>
        <x:v>23819060</x:v>
      </x:c>
      <x:c r="E151" s="10" t="str">
        <x:f>IF(ISNUMBER('原始月度'!F151),'原始月度'!F151*1000,"")</x:f>
      </x:c>
      <x:c r="F151" s="10" t="str">
        <x:f>IF(ISNUMBER('原始月度'!G151),'原始月度'!G151,"")</x:f>
      </x:c>
      <x:c r="G151" s="2" t="str">
        <x:v>原报非零值</x:v>
      </x:c>
      <x:c r="H151" s="2" t="str">
        <x:v>未披露</x:v>
      </x:c>
      <x:c r="I151" s="2" t="str">
        <x:v>未取得月度量</x:v>
      </x:c>
    </x:row>
    <x:row r="152" ht="25" customHeight="1">
      <x:c r="A152" s="7" t="d">
        <x:v>2013-07-01T00:00:00.000Z</x:v>
      </x:c>
      <x:c r="B152" s="9" t="n">
        <x:f>'原始月度'!C152*1000</x:f>
        <x:v>10204320</x:v>
      </x:c>
      <x:c r="C152" s="9" t="n">
        <x:f>IF('原始月度'!D152=0,"",'原始月度'!D152*1000)</x:f>
        <x:v>27302740</x:v>
      </x:c>
      <x:c r="D152" s="9" t="n">
        <x:f>'原始月度'!E152*1000</x:f>
        <x:v>30424280</x:v>
      </x:c>
      <x:c r="E152" s="9" t="n">
        <x:f>IF(ISNUMBER('原始月度'!F152),'原始月度'!F152*1000,"")</x:f>
        <x:v>82308320</x:v>
      </x:c>
      <x:c r="F152" s="9" t="str">
        <x:f>IF(ISNUMBER('原始月度'!G152),'原始月度'!G152,"")</x:f>
      </x:c>
      <x:c r="G152" s="6" t="str">
        <x:v>原报非零值</x:v>
      </x:c>
      <x:c r="H152" s="6" t="str">
        <x:v>原报值</x:v>
      </x:c>
      <x:c r="I152" s="6" t="str">
        <x:v>未取得月度量</x:v>
      </x:c>
    </x:row>
    <x:row r="153" ht="25" customHeight="1">
      <x:c r="A153" s="8" t="d">
        <x:v>2013-08-01T00:00:00.000Z</x:v>
      </x:c>
      <x:c r="B153" s="10" t="n">
        <x:f>'原始月度'!C153*1000</x:f>
        <x:v>23766770</x:v>
      </x:c>
      <x:c r="C153" s="10" t="n">
        <x:f>IF('原始月度'!D153=0,"",'原始月度'!D153*1000)</x:f>
        <x:v>29209760</x:v>
      </x:c>
      <x:c r="D153" s="10" t="n">
        <x:f>'原始月度'!E153*1000</x:f>
        <x:v>31966460</x:v>
      </x:c>
      <x:c r="E153" s="10" t="n">
        <x:f>IF(ISNUMBER('原始月度'!F153),'原始月度'!F153*1000,"")</x:f>
        <x:v>94020160</x:v>
      </x:c>
      <x:c r="F153" s="10" t="str">
        <x:f>IF(ISNUMBER('原始月度'!G153),'原始月度'!G153,"")</x:f>
      </x:c>
      <x:c r="G153" s="2" t="str">
        <x:v>原报非零值</x:v>
      </x:c>
      <x:c r="H153" s="2" t="str">
        <x:v>原报值</x:v>
      </x:c>
      <x:c r="I153" s="2" t="str">
        <x:v>未取得月度量</x:v>
      </x:c>
    </x:row>
    <x:row r="154" ht="25" customHeight="1">
      <x:c r="A154" s="7" t="d">
        <x:v>2013-09-01T00:00:00.000Z</x:v>
      </x:c>
      <x:c r="B154" s="9" t="n">
        <x:f>'原始月度'!C154*1000</x:f>
        <x:v>33471160.000000004</x:v>
      </x:c>
      <x:c r="C154" s="9" t="n">
        <x:f>IF('原始月度'!D154=0,"",'原始月度'!D154*1000)</x:f>
        <x:v>30182410</x:v>
      </x:c>
      <x:c r="D154" s="9" t="n">
        <x:f>'原始月度'!E154*1000</x:f>
        <x:v>37284370</x:v>
      </x:c>
      <x:c r="E154" s="9" t="n">
        <x:f>IF(ISNUMBER('原始月度'!F154),'原始月度'!F154*1000,"")</x:f>
        <x:v>88093200</x:v>
      </x:c>
      <x:c r="F154" s="9" t="str">
        <x:f>IF(ISNUMBER('原始月度'!G154),'原始月度'!G154,"")</x:f>
      </x:c>
      <x:c r="G154" s="6" t="str">
        <x:v>原报非零值</x:v>
      </x:c>
      <x:c r="H154" s="6" t="str">
        <x:v>原报值</x:v>
      </x:c>
      <x:c r="I154" s="6" t="str">
        <x:v>未取得月度量</x:v>
      </x:c>
    </x:row>
    <x:row r="155" ht="25" customHeight="1">
      <x:c r="A155" s="8" t="d">
        <x:v>2013-10-01T00:00:00.000Z</x:v>
      </x:c>
      <x:c r="B155" s="10" t="n">
        <x:f>'原始月度'!C155*1000</x:f>
        <x:v>31458970</x:v>
      </x:c>
      <x:c r="C155" s="10" t="n">
        <x:f>IF('原始月度'!D155=0,"",'原始月度'!D155*1000)</x:f>
        <x:v>43013450</x:v>
      </x:c>
      <x:c r="D155" s="10" t="n">
        <x:f>'原始月度'!E155*1000</x:f>
        <x:v>52010800</x:v>
      </x:c>
      <x:c r="E155" s="10" t="n">
        <x:f>IF(ISNUMBER('原始月度'!F155),'原始月度'!F155*1000,"")</x:f>
        <x:v>117316460</x:v>
      </x:c>
      <x:c r="F155" s="10" t="str">
        <x:f>IF(ISNUMBER('原始月度'!G155),'原始月度'!G155,"")</x:f>
      </x:c>
      <x:c r="G155" s="2" t="str">
        <x:v>原报非零值</x:v>
      </x:c>
      <x:c r="H155" s="2" t="str">
        <x:v>原报值</x:v>
      </x:c>
      <x:c r="I155" s="2" t="str">
        <x:v>未取得月度量</x:v>
      </x:c>
    </x:row>
    <x:row r="156" ht="25" customHeight="1">
      <x:c r="A156" s="7" t="d">
        <x:v>2013-11-01T00:00:00.000Z</x:v>
      </x:c>
      <x:c r="B156" s="9" t="n">
        <x:f>'原始月度'!C156*1000</x:f>
        <x:v>23109180</x:v>
      </x:c>
      <x:c r="C156" s="9" t="n">
        <x:f>IF('原始月度'!D156=0,"",'原始月度'!D156*1000)</x:f>
        <x:v>32484650</x:v>
      </x:c>
      <x:c r="D156" s="9" t="n">
        <x:f>'原始月度'!E156*1000</x:f>
        <x:v>39357170</x:v>
      </x:c>
      <x:c r="E156" s="9" t="n">
        <x:f>IF(ISNUMBER('原始月度'!F156),'原始月度'!F156*1000,"")</x:f>
        <x:v>111915850</x:v>
      </x:c>
      <x:c r="F156" s="9" t="str">
        <x:f>IF(ISNUMBER('原始月度'!G156),'原始月度'!G156,"")</x:f>
      </x:c>
      <x:c r="G156" s="6" t="str">
        <x:v>原报非零值</x:v>
      </x:c>
      <x:c r="H156" s="6" t="str">
        <x:v>原报值</x:v>
      </x:c>
      <x:c r="I156" s="6" t="str">
        <x:v>未取得月度量</x:v>
      </x:c>
    </x:row>
    <x:row r="157" ht="25" customHeight="1">
      <x:c r="A157" s="8" t="d">
        <x:v>2013-12-01T00:00:00.000Z</x:v>
      </x:c>
      <x:c r="B157" s="10" t="n">
        <x:f>'原始月度'!C157*1000</x:f>
        <x:v>22453430</x:v>
      </x:c>
      <x:c r="C157" s="10" t="n">
        <x:f>IF('原始月度'!D157=0,"",'原始月度'!D157*1000)</x:f>
        <x:v>35007700</x:v>
      </x:c>
      <x:c r="D157" s="10" t="n">
        <x:f>'原始月度'!E157*1000</x:f>
        <x:v>38996390</x:v>
      </x:c>
      <x:c r="E157" s="10" t="n">
        <x:f>IF(ISNUMBER('原始月度'!F157),'原始月度'!F157*1000,"")</x:f>
        <x:v>137267710</x:v>
      </x:c>
      <x:c r="F157" s="10" t="str">
        <x:f>IF(ISNUMBER('原始月度'!G157),'原始月度'!G157,"")</x:f>
      </x:c>
      <x:c r="G157" s="2" t="str">
        <x:v>原报非零值</x:v>
      </x:c>
      <x:c r="H157" s="2" t="str">
        <x:v>原报值</x:v>
      </x:c>
      <x:c r="I157" s="2" t="str">
        <x:v>未取得月度量</x:v>
      </x:c>
    </x:row>
    <x:row r="158" ht="25" customHeight="1">
      <x:c r="A158" s="7" t="d">
        <x:v>2014-01-01T00:00:00.000Z</x:v>
      </x:c>
      <x:c r="B158" s="9" t="n">
        <x:f>'原始月度'!C158*1000</x:f>
        <x:v>32338240</x:v>
      </x:c>
      <x:c r="C158" s="9" t="n">
        <x:f>IF('原始月度'!D158=0,"",'原始月度'!D158*1000)</x:f>
        <x:v>41489880</x:v>
      </x:c>
      <x:c r="D158" s="9" t="n">
        <x:f>'原始月度'!E158*1000</x:f>
        <x:v>23350560</x:v>
      </x:c>
      <x:c r="E158" s="9" t="n">
        <x:f>IF(ISNUMBER('原始月度'!F158),'原始月度'!F158*1000,"")</x:f>
        <x:v>96568380</x:v>
      </x:c>
      <x:c r="F158" s="9" t="str">
        <x:f>IF(ISNUMBER('原始月度'!G158),'原始月度'!G158,"")</x:f>
      </x:c>
      <x:c r="G158" s="6" t="str">
        <x:v>原报非零值</x:v>
      </x:c>
      <x:c r="H158" s="6" t="str">
        <x:v>原报值</x:v>
      </x:c>
      <x:c r="I158" s="6" t="str">
        <x:v>未取得月度量</x:v>
      </x:c>
    </x:row>
    <x:row r="159" ht="25" customHeight="1">
      <x:c r="A159" s="8" t="d">
        <x:v>2014-02-01T00:00:00.000Z</x:v>
      </x:c>
      <x:c r="B159" s="10" t="n">
        <x:f>'原始月度'!C159*1000</x:f>
        <x:v>16541730</x:v>
      </x:c>
      <x:c r="C159" s="10" t="n">
        <x:f>IF('原始月度'!D159=0,"",'原始月度'!D159*1000)</x:f>
        <x:v>44994950</x:v>
      </x:c>
      <x:c r="D159" s="10" t="n">
        <x:f>'原始月度'!E159*1000</x:f>
        <x:v>53168640</x:v>
      </x:c>
      <x:c r="E159" s="10" t="n">
        <x:f>IF(ISNUMBER('原始月度'!F159),'原始月度'!F159*1000,"")</x:f>
        <x:v>94606690</x:v>
      </x:c>
      <x:c r="F159" s="10" t="str">
        <x:f>IF(ISNUMBER('原始月度'!G159),'原始月度'!G159,"")</x:f>
      </x:c>
      <x:c r="G159" s="2" t="str">
        <x:v>原报非零值</x:v>
      </x:c>
      <x:c r="H159" s="2" t="str">
        <x:v>原报值</x:v>
      </x:c>
      <x:c r="I159" s="2" t="str">
        <x:v>未取得月度量</x:v>
      </x:c>
    </x:row>
    <x:row r="160" ht="25" customHeight="1">
      <x:c r="A160" s="7" t="d">
        <x:v>2014-03-01T00:00:00.000Z</x:v>
      </x:c>
      <x:c r="B160" s="9" t="n">
        <x:f>'原始月度'!C160*1000</x:f>
        <x:v>44205700</x:v>
      </x:c>
      <x:c r="C160" s="9" t="n">
        <x:f>IF('原始月度'!D160=0,"",'原始月度'!D160*1000)</x:f>
        <x:v>46195460</x:v>
      </x:c>
      <x:c r="D160" s="9" t="n">
        <x:f>'原始月度'!E160*1000</x:f>
        <x:v>54243610</x:v>
      </x:c>
      <x:c r="E160" s="9" t="n">
        <x:f>IF(ISNUMBER('原始月度'!F160),'原始月度'!F160*1000,"")</x:f>
        <x:v>115782900</x:v>
      </x:c>
      <x:c r="F160" s="9" t="str">
        <x:f>IF(ISNUMBER('原始月度'!G160),'原始月度'!G160,"")</x:f>
      </x:c>
      <x:c r="G160" s="6" t="str">
        <x:v>原报非零值</x:v>
      </x:c>
      <x:c r="H160" s="6" t="str">
        <x:v>原报值</x:v>
      </x:c>
      <x:c r="I160" s="6" t="str">
        <x:v>未取得月度量</x:v>
      </x:c>
    </x:row>
    <x:row r="161" ht="25" customHeight="1">
      <x:c r="A161" s="8" t="d">
        <x:v>2014-04-01T00:00:00.000Z</x:v>
      </x:c>
      <x:c r="B161" s="10" t="n">
        <x:f>'原始月度'!C161*1000</x:f>
        <x:v>42244400</x:v>
      </x:c>
      <x:c r="C161" s="10" t="n">
        <x:f>IF('原始月度'!D161=0,"",'原始月度'!D161*1000)</x:f>
        <x:v>45199350</x:v>
      </x:c>
      <x:c r="D161" s="10" t="n">
        <x:f>'原始月度'!E161*1000</x:f>
        <x:v>49256720</x:v>
      </x:c>
      <x:c r="E161" s="10" t="n">
        <x:f>IF(ISNUMBER('原始月度'!F161),'原始月度'!F161*1000,"")</x:f>
        <x:v>68450140</x:v>
      </x:c>
      <x:c r="F161" s="10" t="str">
        <x:f>IF(ISNUMBER('原始月度'!G161),'原始月度'!G161,"")</x:f>
      </x:c>
      <x:c r="G161" s="2" t="str">
        <x:v>原报非零值</x:v>
      </x:c>
      <x:c r="H161" s="2" t="str">
        <x:v>原报值</x:v>
      </x:c>
      <x:c r="I161" s="2" t="str">
        <x:v>未取得月度量</x:v>
      </x:c>
    </x:row>
    <x:row r="162" ht="25" customHeight="1">
      <x:c r="A162" s="7" t="d">
        <x:v>2014-05-01T00:00:00.000Z</x:v>
      </x:c>
      <x:c r="B162" s="9" t="n">
        <x:f>'原始月度'!C162*1000</x:f>
        <x:v>19029240</x:v>
      </x:c>
      <x:c r="C162" s="9" t="n">
        <x:f>IF('原始月度'!D162=0,"",'原始月度'!D162*1000)</x:f>
        <x:v>44664100</x:v>
      </x:c>
      <x:c r="D162" s="9" t="n">
        <x:f>'原始月度'!E162*1000</x:f>
        <x:v>52922660</x:v>
      </x:c>
      <x:c r="E162" s="9" t="n">
        <x:f>IF(ISNUMBER('原始月度'!F162),'原始月度'!F162*1000,"")</x:f>
        <x:v>91451810</x:v>
      </x:c>
      <x:c r="F162" s="9" t="str">
        <x:f>IF(ISNUMBER('原始月度'!G162),'原始月度'!G162,"")</x:f>
      </x:c>
      <x:c r="G162" s="6" t="str">
        <x:v>原报非零值</x:v>
      </x:c>
      <x:c r="H162" s="6" t="str">
        <x:v>原报值</x:v>
      </x:c>
      <x:c r="I162" s="6" t="str">
        <x:v>未取得月度量</x:v>
      </x:c>
    </x:row>
    <x:row r="163" ht="25" customHeight="1">
      <x:c r="A163" s="8" t="d">
        <x:v>2014-06-01T00:00:00.000Z</x:v>
      </x:c>
      <x:c r="B163" s="10" t="n">
        <x:f>'原始月度'!C163*1000</x:f>
        <x:v>42485270</x:v>
      </x:c>
      <x:c r="C163" s="10" t="n">
        <x:f>IF('原始月度'!D163=0,"",'原始月度'!D163*1000)</x:f>
        <x:v>42595420</x:v>
      </x:c>
      <x:c r="D163" s="10" t="n">
        <x:f>'原始月度'!E163*1000</x:f>
        <x:v>48183730</x:v>
      </x:c>
      <x:c r="E163" s="10" t="n">
        <x:f>IF(ISNUMBER('原始月度'!F163),'原始月度'!F163*1000,"")</x:f>
        <x:v>38575690</x:v>
      </x:c>
      <x:c r="F163" s="10" t="str">
        <x:f>IF(ISNUMBER('原始月度'!G163),'原始月度'!G163,"")</x:f>
      </x:c>
      <x:c r="G163" s="2" t="str">
        <x:v>原报非零值</x:v>
      </x:c>
      <x:c r="H163" s="2" t="str">
        <x:v>原报值</x:v>
      </x:c>
      <x:c r="I163" s="2" t="str">
        <x:v>未取得月度量</x:v>
      </x:c>
    </x:row>
    <x:row r="164" ht="25" customHeight="1">
      <x:c r="A164" s="7" t="d">
        <x:v>2014-07-01T00:00:00.000Z</x:v>
      </x:c>
      <x:c r="B164" s="9" t="n">
        <x:f>'原始月度'!C164*1000</x:f>
        <x:v>16669070</x:v>
      </x:c>
      <x:c r="C164" s="9" t="n">
        <x:f>IF('原始月度'!D164=0,"",'原始月度'!D164*1000)</x:f>
        <x:v>53089590</x:v>
      </x:c>
      <x:c r="D164" s="9" t="n">
        <x:f>'原始月度'!E164*1000</x:f>
        <x:v>59114210</x:v>
      </x:c>
      <x:c r="E164" s="9" t="n">
        <x:f>IF(ISNUMBER('原始月度'!F164),'原始月度'!F164*1000,"")</x:f>
        <x:v>59940650</x:v>
      </x:c>
      <x:c r="F164" s="9" t="str">
        <x:f>IF(ISNUMBER('原始月度'!G164),'原始月度'!G164,"")</x:f>
      </x:c>
      <x:c r="G164" s="6" t="str">
        <x:v>原报非零值</x:v>
      </x:c>
      <x:c r="H164" s="6" t="str">
        <x:v>原报值</x:v>
      </x:c>
      <x:c r="I164" s="6" t="str">
        <x:v>未取得月度量</x:v>
      </x:c>
    </x:row>
    <x:row r="165" ht="25" customHeight="1">
      <x:c r="A165" s="8" t="d">
        <x:v>2014-08-01T00:00:00.000Z</x:v>
      </x:c>
      <x:c r="B165" s="10" t="n">
        <x:f>'原始月度'!C165*1000</x:f>
        <x:v>36333390</x:v>
      </x:c>
      <x:c r="C165" s="10" t="n">
        <x:f>IF('原始月度'!D165=0,"",'原始月度'!D165*1000)</x:f>
        <x:v>35562070</x:v>
      </x:c>
      <x:c r="D165" s="10" t="n">
        <x:f>'原始月度'!E165*1000</x:f>
        <x:v>41404740</x:v>
      </x:c>
      <x:c r="E165" s="10" t="n">
        <x:f>IF(ISNUMBER('原始月度'!F165),'原始月度'!F165*1000,"")</x:f>
        <x:v>52050310</x:v>
      </x:c>
      <x:c r="F165" s="10" t="str">
        <x:f>IF(ISNUMBER('原始月度'!G165),'原始月度'!G165,"")</x:f>
      </x:c>
      <x:c r="G165" s="2" t="str">
        <x:v>原报非零值</x:v>
      </x:c>
      <x:c r="H165" s="2" t="str">
        <x:v>原报值</x:v>
      </x:c>
      <x:c r="I165" s="2" t="str">
        <x:v>未取得月度量</x:v>
      </x:c>
    </x:row>
    <x:row r="166" ht="25" customHeight="1">
      <x:c r="A166" s="7" t="d">
        <x:v>2014-09-01T00:00:00.000Z</x:v>
      </x:c>
      <x:c r="B166" s="9" t="n">
        <x:f>'原始月度'!C166*1000</x:f>
        <x:v>14394790</x:v>
      </x:c>
      <x:c r="C166" s="9" t="n">
        <x:f>IF('原始月度'!D166=0,"",'原始月度'!D166*1000)</x:f>
        <x:v>20287490</x:v>
      </x:c>
      <x:c r="D166" s="9" t="n">
        <x:f>'原始月度'!E166*1000</x:f>
        <x:v>23695670</x:v>
      </x:c>
      <x:c r="E166" s="9" t="n">
        <x:f>IF(ISNUMBER('原始月度'!F166),'原始月度'!F166*1000,"")</x:f>
        <x:v>56723660</x:v>
      </x:c>
      <x:c r="F166" s="9" t="str">
        <x:f>IF(ISNUMBER('原始月度'!G166),'原始月度'!G166,"")</x:f>
      </x:c>
      <x:c r="G166" s="6" t="str">
        <x:v>原报非零值</x:v>
      </x:c>
      <x:c r="H166" s="6" t="str">
        <x:v>原报值</x:v>
      </x:c>
      <x:c r="I166" s="6" t="str">
        <x:v>未取得月度量</x:v>
      </x:c>
    </x:row>
    <x:row r="167" ht="25" customHeight="1">
      <x:c r="A167" s="8" t="d">
        <x:v>2014-10-01T00:00:00.000Z</x:v>
      </x:c>
      <x:c r="B167" s="10" t="n">
        <x:f>'原始月度'!C167*1000</x:f>
        <x:v>40577780</x:v>
      </x:c>
      <x:c r="C167" s="10" t="n">
        <x:f>IF('原始月度'!D167=0,"",'原始月度'!D167*1000)</x:f>
        <x:v>29577660</x:v>
      </x:c>
      <x:c r="D167" s="10" t="n">
        <x:f>'原始月度'!E167*1000</x:f>
        <x:v>31074880</x:v>
      </x:c>
      <x:c r="E167" s="10" t="n">
        <x:f>IF(ISNUMBER('原始月度'!F167),'原始月度'!F167*1000,"")</x:f>
        <x:v>41790840</x:v>
      </x:c>
      <x:c r="F167" s="10" t="str">
        <x:f>IF(ISNUMBER('原始月度'!G167),'原始月度'!G167,"")</x:f>
      </x:c>
      <x:c r="G167" s="2" t="str">
        <x:v>原报非零值</x:v>
      </x:c>
      <x:c r="H167" s="2" t="str">
        <x:v>原报值</x:v>
      </x:c>
      <x:c r="I167" s="2" t="str">
        <x:v>未取得月度量</x:v>
      </x:c>
    </x:row>
    <x:row r="168" ht="25" customHeight="1">
      <x:c r="A168" s="7" t="d">
        <x:v>2014-11-01T00:00:00.000Z</x:v>
      </x:c>
      <x:c r="B168" s="9" t="n">
        <x:f>'原始月度'!C168*1000</x:f>
        <x:v>12157610</x:v>
      </x:c>
      <x:c r="C168" s="9" t="n">
        <x:f>IF('原始月度'!D168=0,"",'原始月度'!D168*1000)</x:f>
        <x:v>28243550</x:v>
      </x:c>
      <x:c r="D168" s="9" t="n">
        <x:f>'原始月度'!E168*1000</x:f>
        <x:v>31663510</x:v>
      </x:c>
      <x:c r="E168" s="9" t="n">
        <x:f>IF(ISNUMBER('原始月度'!F168),'原始月度'!F168*1000,"")</x:f>
        <x:v>20273310</x:v>
      </x:c>
      <x:c r="F168" s="9" t="str">
        <x:f>IF(ISNUMBER('原始月度'!G168),'原始月度'!G168,"")</x:f>
      </x:c>
      <x:c r="G168" s="6" t="str">
        <x:v>原报非零值</x:v>
      </x:c>
      <x:c r="H168" s="6" t="str">
        <x:v>原报值</x:v>
      </x:c>
      <x:c r="I168" s="6" t="str">
        <x:v>未取得月度量</x:v>
      </x:c>
    </x:row>
    <x:row r="169" ht="25" customHeight="1">
      <x:c r="A169" s="8" t="d">
        <x:v>2014-12-01T00:00:00.000Z</x:v>
      </x:c>
      <x:c r="B169" s="10" t="n">
        <x:f>'原始月度'!C169*1000</x:f>
        <x:v>19717440</x:v>
      </x:c>
      <x:c r="C169" s="10" t="n">
        <x:f>IF('原始月度'!D169=0,"",'原始月度'!D169*1000)</x:f>
        <x:v>19928410</x:v>
      </x:c>
      <x:c r="D169" s="10" t="n">
        <x:f>'原始月度'!E169*1000</x:f>
        <x:v>21676740</x:v>
      </x:c>
      <x:c r="E169" s="10" t="n">
        <x:f>IF(ISNUMBER('原始月度'!F169),'原始月度'!F169*1000,"")</x:f>
        <x:v>5851780</x:v>
      </x:c>
      <x:c r="F169" s="10" t="str">
        <x:f>IF(ISNUMBER('原始月度'!G169),'原始月度'!G169,"")</x:f>
      </x:c>
      <x:c r="G169" s="2" t="str">
        <x:v>原报非零值</x:v>
      </x:c>
      <x:c r="H169" s="2" t="str">
        <x:v>原报值</x:v>
      </x:c>
      <x:c r="I169" s="2" t="str">
        <x:v>未取得月度量</x:v>
      </x:c>
    </x:row>
    <x:row r="170" ht="25" customHeight="1">
      <x:c r="A170" s="7" t="d">
        <x:v>2015-01-01T00:00:00.000Z</x:v>
      </x:c>
      <x:c r="B170" s="9" t="n">
        <x:f>'原始月度'!C170*1000</x:f>
        <x:v>157053310</x:v>
      </x:c>
      <x:c r="C170" s="9" t="n">
        <x:f>IF('原始月度'!D170=0,"",'原始月度'!D170*1000)</x:f>
        <x:v>21043080</x:v>
      </x:c>
      <x:c r="D170" s="9" t="n">
        <x:f>'原始月度'!E170*1000</x:f>
        <x:v>24104840</x:v>
      </x:c>
      <x:c r="E170" s="9" t="n">
        <x:f>IF(ISNUMBER('原始月度'!F170),'原始月度'!F170*1000,"")</x:f>
        <x:v>49006600</x:v>
      </x:c>
      <x:c r="F170" s="9" t="str">
        <x:f>IF(ISNUMBER('原始月度'!G170),'原始月度'!G170,"")</x:f>
      </x:c>
      <x:c r="G170" s="6" t="str">
        <x:v>原报非零值</x:v>
      </x:c>
      <x:c r="H170" s="6" t="str">
        <x:v>原报值</x:v>
      </x:c>
      <x:c r="I170" s="6" t="str">
        <x:v>未取得月度量</x:v>
      </x:c>
    </x:row>
    <x:row r="171" ht="25" customHeight="1">
      <x:c r="A171" s="8" t="d">
        <x:v>2015-02-01T00:00:00.000Z</x:v>
      </x:c>
      <x:c r="B171" s="10" t="n">
        <x:f>'原始月度'!C171*1000</x:f>
        <x:v>25866620</x:v>
      </x:c>
      <x:c r="C171" s="10" t="n">
        <x:f>IF('原始月度'!D171=0,"",'原始月度'!D171*1000)</x:f>
        <x:v>22643150</x:v>
      </x:c>
      <x:c r="D171" s="10" t="n">
        <x:f>'原始月度'!E171*1000</x:f>
        <x:v>25842260</x:v>
      </x:c>
      <x:c r="E171" s="10" t="n">
        <x:f>IF(ISNUMBER('原始月度'!F171),'原始月度'!F171*1000,"")</x:f>
        <x:v>10601000</x:v>
      </x:c>
      <x:c r="F171" s="10" t="str">
        <x:f>IF(ISNUMBER('原始月度'!G171),'原始月度'!G171,"")</x:f>
      </x:c>
      <x:c r="G171" s="2" t="str">
        <x:v>原报非零值</x:v>
      </x:c>
      <x:c r="H171" s="2" t="str">
        <x:v>原报值</x:v>
      </x:c>
      <x:c r="I171" s="2" t="str">
        <x:v>未取得月度量</x:v>
      </x:c>
    </x:row>
    <x:row r="172" ht="25" customHeight="1">
      <x:c r="A172" s="7" t="d">
        <x:v>2015-03-01T00:00:00.000Z</x:v>
      </x:c>
      <x:c r="B172" s="9" t="n">
        <x:f>'原始月度'!C172*1000</x:f>
        <x:v>58111610</x:v>
      </x:c>
      <x:c r="C172" s="9" t="n">
        <x:f>IF('原始月度'!D172=0,"",'原始月度'!D172*1000)</x:f>
        <x:v>20624370</x:v>
      </x:c>
      <x:c r="D172" s="9" t="n">
        <x:f>'原始月度'!E172*1000</x:f>
        <x:v>23047290</x:v>
      </x:c>
      <x:c r="E172" s="9" t="n">
        <x:f>IF(ISNUMBER('原始月度'!F172),'原始月度'!F172*1000,"")</x:f>
        <x:v>11315780</x:v>
      </x:c>
      <x:c r="F172" s="9" t="str">
        <x:f>IF(ISNUMBER('原始月度'!G172),'原始月度'!G172,"")</x:f>
      </x:c>
      <x:c r="G172" s="6" t="str">
        <x:v>原报非零值</x:v>
      </x:c>
      <x:c r="H172" s="6" t="str">
        <x:v>原报值</x:v>
      </x:c>
      <x:c r="I172" s="6" t="str">
        <x:v>未取得月度量</x:v>
      </x:c>
    </x:row>
    <x:row r="173" ht="25" customHeight="1">
      <x:c r="A173" s="8" t="d">
        <x:v>2015-04-01T00:00:00.000Z</x:v>
      </x:c>
      <x:c r="B173" s="10" t="n">
        <x:f>'原始月度'!C173*1000</x:f>
        <x:v>30708820</x:v>
      </x:c>
      <x:c r="C173" s="10" t="n">
        <x:f>IF('原始月度'!D173=0,"",'原始月度'!D173*1000)</x:f>
        <x:v>20170480</x:v>
      </x:c>
      <x:c r="D173" s="10" t="n">
        <x:f>'原始月度'!E173*1000</x:f>
        <x:v>22956530</x:v>
      </x:c>
      <x:c r="E173" s="10" t="str">
        <x:f>IF(ISNUMBER('原始月度'!F173),'原始月度'!F173*1000,"")</x:f>
      </x:c>
      <x:c r="F173" s="10" t="str">
        <x:f>IF(ISNUMBER('原始月度'!G173),'原始月度'!G173,"")</x:f>
      </x:c>
      <x:c r="G173" s="2" t="str">
        <x:v>原报非零值</x:v>
      </x:c>
      <x:c r="H173" s="2" t="str">
        <x:v>未披露</x:v>
      </x:c>
      <x:c r="I173" s="2" t="str">
        <x:v>未取得月度量</x:v>
      </x:c>
    </x:row>
    <x:row r="174" ht="25" customHeight="1">
      <x:c r="A174" s="7" t="d">
        <x:v>2015-05-01T00:00:00.000Z</x:v>
      </x:c>
      <x:c r="B174" s="9" t="n">
        <x:f>'原始月度'!C174*1000</x:f>
        <x:v>45063510</x:v>
      </x:c>
      <x:c r="C174" s="9" t="n">
        <x:f>IF('原始月度'!D174=0,"",'原始月度'!D174*1000)</x:f>
        <x:v>32320900</x:v>
      </x:c>
      <x:c r="D174" s="9" t="n">
        <x:f>'原始月度'!E174*1000</x:f>
        <x:v>36738470</x:v>
      </x:c>
      <x:c r="E174" s="9" t="str">
        <x:f>IF(ISNUMBER('原始月度'!F174),'原始月度'!F174*1000,"")</x:f>
      </x:c>
      <x:c r="F174" s="9" t="str">
        <x:f>IF(ISNUMBER('原始月度'!G174),'原始月度'!G174,"")</x:f>
      </x:c>
      <x:c r="G174" s="6" t="str">
        <x:v>原报非零值</x:v>
      </x:c>
      <x:c r="H174" s="6" t="str">
        <x:v>未披露</x:v>
      </x:c>
      <x:c r="I174" s="6" t="str">
        <x:v>未取得月度量</x:v>
      </x:c>
    </x:row>
    <x:row r="175" ht="25" customHeight="1">
      <x:c r="A175" s="8" t="d">
        <x:v>2015-06-01T00:00:00.000Z</x:v>
      </x:c>
      <x:c r="B175" s="10" t="n">
        <x:f>'原始月度'!C175*1000</x:f>
        <x:v>63019510</x:v>
      </x:c>
      <x:c r="C175" s="10" t="n">
        <x:f>IF('原始月度'!D175=0,"",'原始月度'!D175*1000)</x:f>
        <x:v>32420090</x:v>
      </x:c>
      <x:c r="D175" s="10" t="n">
        <x:f>'原始月度'!E175*1000</x:f>
        <x:v>38138770</x:v>
      </x:c>
      <x:c r="E175" s="10" t="str">
        <x:f>IF(ISNUMBER('原始月度'!F175),'原始月度'!F175*1000,"")</x:f>
      </x:c>
      <x:c r="F175" s="10" t="str">
        <x:f>IF(ISNUMBER('原始月度'!G175),'原始月度'!G175,"")</x:f>
      </x:c>
      <x:c r="G175" s="2" t="str">
        <x:v>原报非零值</x:v>
      </x:c>
      <x:c r="H175" s="2" t="str">
        <x:v>未披露</x:v>
      </x:c>
      <x:c r="I175" s="2" t="str">
        <x:v>未取得月度量</x:v>
      </x:c>
    </x:row>
    <x:row r="176" ht="25" customHeight="1">
      <x:c r="A176" s="7" t="d">
        <x:v>2015-07-01T00:00:00.000Z</x:v>
      </x:c>
      <x:c r="B176" s="9" t="n">
        <x:f>'原始月度'!C176*1000</x:f>
        <x:v>30598260</x:v>
      </x:c>
      <x:c r="C176" s="9" t="n">
        <x:f>IF('原始月度'!D176=0,"",'原始月度'!D176*1000)</x:f>
        <x:v>19352900</x:v>
      </x:c>
      <x:c r="D176" s="9" t="n">
        <x:f>'原始月度'!E176*1000</x:f>
        <x:v>22349090</x:v>
      </x:c>
      <x:c r="E176" s="9" t="str">
        <x:f>IF(ISNUMBER('原始月度'!F176),'原始月度'!F176*1000,"")</x:f>
      </x:c>
      <x:c r="F176" s="9" t="str">
        <x:f>IF(ISNUMBER('原始月度'!G176),'原始月度'!G176,"")</x:f>
      </x:c>
      <x:c r="G176" s="6" t="str">
        <x:v>原报非零值</x:v>
      </x:c>
      <x:c r="H176" s="6" t="str">
        <x:v>未披露</x:v>
      </x:c>
      <x:c r="I176" s="6" t="str">
        <x:v>未取得月度量</x:v>
      </x:c>
    </x:row>
    <x:row r="177" ht="25" customHeight="1">
      <x:c r="A177" s="8" t="d">
        <x:v>2015-08-01T00:00:00.000Z</x:v>
      </x:c>
      <x:c r="B177" s="10" t="n">
        <x:f>'原始月度'!C177*1000</x:f>
        <x:v>20497550</x:v>
      </x:c>
      <x:c r="C177" s="10" t="n">
        <x:f>IF('原始月度'!D177=0,"",'原始月度'!D177*1000)</x:f>
        <x:v>20090280</x:v>
      </x:c>
      <x:c r="D177" s="10" t="n">
        <x:f>'原始月度'!E177*1000</x:f>
        <x:v>21395540</x:v>
      </x:c>
      <x:c r="E177" s="10" t="str">
        <x:f>IF(ISNUMBER('原始月度'!F177),'原始月度'!F177*1000,"")</x:f>
      </x:c>
      <x:c r="F177" s="10" t="str">
        <x:f>IF(ISNUMBER('原始月度'!G177),'原始月度'!G177,"")</x:f>
      </x:c>
      <x:c r="G177" s="2" t="str">
        <x:v>原报非零值</x:v>
      </x:c>
      <x:c r="H177" s="2" t="str">
        <x:v>未披露</x:v>
      </x:c>
      <x:c r="I177" s="2" t="str">
        <x:v>未取得月度量</x:v>
      </x:c>
    </x:row>
    <x:row r="178" ht="25" customHeight="1">
      <x:c r="A178" s="7" t="d">
        <x:v>2015-09-01T00:00:00.000Z</x:v>
      </x:c>
      <x:c r="B178" s="9" t="n">
        <x:f>'原始月度'!C178*1000</x:f>
        <x:v>27782620</x:v>
      </x:c>
      <x:c r="C178" s="9" t="n">
        <x:f>IF('原始月度'!D178=0,"",'原始月度'!D178*1000)</x:f>
        <x:v>12304030</x:v>
      </x:c>
      <x:c r="D178" s="9" t="n">
        <x:f>'原始月度'!E178*1000</x:f>
        <x:v>14055190</x:v>
      </x:c>
      <x:c r="E178" s="9" t="str">
        <x:f>IF(ISNUMBER('原始月度'!F178),'原始月度'!F178*1000,"")</x:f>
      </x:c>
      <x:c r="F178" s="9" t="str">
        <x:f>IF(ISNUMBER('原始月度'!G178),'原始月度'!G178,"")</x:f>
      </x:c>
      <x:c r="G178" s="6" t="str">
        <x:v>原报非零值</x:v>
      </x:c>
      <x:c r="H178" s="6" t="str">
        <x:v>未披露</x:v>
      </x:c>
      <x:c r="I178" s="6" t="str">
        <x:v>未取得月度量</x:v>
      </x:c>
    </x:row>
    <x:row r="179" ht="25" customHeight="1">
      <x:c r="A179" s="8" t="d">
        <x:v>2015-10-01T00:00:00.000Z</x:v>
      </x:c>
      <x:c r="B179" s="10" t="n">
        <x:f>'原始月度'!C179*1000</x:f>
        <x:v>18867860</x:v>
      </x:c>
      <x:c r="C179" s="10" t="n">
        <x:f>IF('原始月度'!D179=0,"",'原始月度'!D179*1000)</x:f>
        <x:v>14935480</x:v>
      </x:c>
      <x:c r="D179" s="10" t="n">
        <x:f>'原始月度'!E179*1000</x:f>
        <x:v>17160370</x:v>
      </x:c>
      <x:c r="E179" s="10" t="str">
        <x:f>IF(ISNUMBER('原始月度'!F179),'原始月度'!F179*1000,"")</x:f>
      </x:c>
      <x:c r="F179" s="10" t="str">
        <x:f>IF(ISNUMBER('原始月度'!G179),'原始月度'!G179,"")</x:f>
      </x:c>
      <x:c r="G179" s="2" t="str">
        <x:v>原报非零值</x:v>
      </x:c>
      <x:c r="H179" s="2" t="str">
        <x:v>未披露</x:v>
      </x:c>
      <x:c r="I179" s="2" t="str">
        <x:v>未取得月度量</x:v>
      </x:c>
    </x:row>
    <x:row r="180" ht="25" customHeight="1">
      <x:c r="A180" s="7" t="d">
        <x:v>2015-11-01T00:00:00.000Z</x:v>
      </x:c>
      <x:c r="B180" s="9" t="n">
        <x:f>'原始月度'!C180*1000</x:f>
        <x:v>34801610</x:v>
      </x:c>
      <x:c r="C180" s="9" t="n">
        <x:f>IF('原始月度'!D180=0,"",'原始月度'!D180*1000)</x:f>
        <x:v>23998530</x:v>
      </x:c>
      <x:c r="D180" s="9" t="n">
        <x:f>'原始月度'!E180*1000</x:f>
        <x:v>26424050</x:v>
      </x:c>
      <x:c r="E180" s="9" t="n">
        <x:f>IF(ISNUMBER('原始月度'!F180),'原始月度'!F180*1000,"")</x:f>
        <x:v>2498840</x:v>
      </x:c>
      <x:c r="F180" s="9" t="str">
        <x:f>IF(ISNUMBER('原始月度'!G180),'原始月度'!G180,"")</x:f>
      </x:c>
      <x:c r="G180" s="6" t="str">
        <x:v>原报非零值</x:v>
      </x:c>
      <x:c r="H180" s="6" t="str">
        <x:v>原报值</x:v>
      </x:c>
      <x:c r="I180" s="6" t="str">
        <x:v>未取得月度量</x:v>
      </x:c>
    </x:row>
    <x:row r="181" ht="25" customHeight="1">
      <x:c r="A181" s="8" t="d">
        <x:v>2015-12-01T00:00:00.000Z</x:v>
      </x:c>
      <x:c r="B181" s="10" t="n">
        <x:f>'原始月度'!C181*1000</x:f>
        <x:v>15492890</x:v>
      </x:c>
      <x:c r="C181" s="10" t="n">
        <x:f>IF('原始月度'!D181=0,"",'原始月度'!D181*1000)</x:f>
        <x:v>5578080</x:v>
      </x:c>
      <x:c r="D181" s="10" t="n">
        <x:f>'原始月度'!E181*1000</x:f>
        <x:v>5745320</x:v>
      </x:c>
      <x:c r="E181" s="10" t="n">
        <x:f>IF(ISNUMBER('原始月度'!F181),'原始月度'!F181*1000,"")</x:f>
        <x:v>3970330</x:v>
      </x:c>
      <x:c r="F181" s="10" t="str">
        <x:f>IF(ISNUMBER('原始月度'!G181),'原始月度'!G181,"")</x:f>
      </x:c>
      <x:c r="G181" s="2" t="str">
        <x:v>原报非零值</x:v>
      </x:c>
      <x:c r="H181" s="2" t="str">
        <x:v>原报值</x:v>
      </x:c>
      <x:c r="I181" s="2" t="str">
        <x:v>未取得月度量</x:v>
      </x:c>
    </x:row>
    <x:row r="182" ht="25" customHeight="1">
      <x:c r="A182" s="7" t="d">
        <x:v>2016-01-01T00:00:00.000Z</x:v>
      </x:c>
      <x:c r="B182" s="9" t="n">
        <x:f>'原始月度'!C182*1000</x:f>
        <x:v>20860620</x:v>
      </x:c>
      <x:c r="C182" s="9" t="n">
        <x:f>IF('原始月度'!D182=0,"",'原始月度'!D182*1000)</x:f>
        <x:v>13511310</x:v>
      </x:c>
      <x:c r="D182" s="9" t="n">
        <x:f>'原始月度'!E182*1000</x:f>
        <x:v>13645340</x:v>
      </x:c>
      <x:c r="E182" s="9" t="n">
        <x:f>IF(ISNUMBER('原始月度'!F182),'原始月度'!F182*1000,"")</x:f>
        <x:v>12051110</x:v>
      </x:c>
      <x:c r="F182" s="9" t="str">
        <x:f>IF(ISNUMBER('原始月度'!G182),'原始月度'!G182,"")</x:f>
      </x:c>
      <x:c r="G182" s="6" t="str">
        <x:v>原报非零值</x:v>
      </x:c>
      <x:c r="H182" s="6" t="str">
        <x:v>原报值</x:v>
      </x:c>
      <x:c r="I182" s="6" t="str">
        <x:v>未取得月度量</x:v>
      </x:c>
    </x:row>
    <x:row r="183" ht="25" customHeight="1">
      <x:c r="A183" s="8" t="d">
        <x:v>2016-02-01T00:00:00.000Z</x:v>
      </x:c>
      <x:c r="B183" s="10" t="n">
        <x:f>'原始月度'!C183*1000</x:f>
        <x:v>18129230</x:v>
      </x:c>
      <x:c r="C183" s="10" t="n">
        <x:f>IF('原始月度'!D183=0,"",'原始月度'!D183*1000)</x:f>
        <x:v>11564040</x:v>
      </x:c>
      <x:c r="D183" s="10" t="n">
        <x:f>'原始月度'!E183*1000</x:f>
        <x:v>12547900</x:v>
      </x:c>
      <x:c r="E183" s="10" t="n">
        <x:f>IF(ISNUMBER('原始月度'!F183),'原始月度'!F183*1000,"")</x:f>
        <x:v>12411710</x:v>
      </x:c>
      <x:c r="F183" s="10" t="str">
        <x:f>IF(ISNUMBER('原始月度'!G183),'原始月度'!G183,"")</x:f>
      </x:c>
      <x:c r="G183" s="2" t="str">
        <x:v>原报非零值</x:v>
      </x:c>
      <x:c r="H183" s="2" t="str">
        <x:v>原报值</x:v>
      </x:c>
      <x:c r="I183" s="2" t="str">
        <x:v>未取得月度量</x:v>
      </x:c>
    </x:row>
    <x:row r="184" ht="25" customHeight="1">
      <x:c r="A184" s="7" t="d">
        <x:v>2016-03-01T00:00:00.000Z</x:v>
      </x:c>
      <x:c r="B184" s="9" t="n">
        <x:f>'原始月度'!C184*1000</x:f>
        <x:v>16648270</x:v>
      </x:c>
      <x:c r="C184" s="9" t="n">
        <x:f>IF('原始月度'!D184=0,"",'原始月度'!D184*1000)</x:f>
        <x:v>18750560</x:v>
      </x:c>
      <x:c r="D184" s="9" t="n">
        <x:f>'原始月度'!E184*1000</x:f>
        <x:v>20783920</x:v>
      </x:c>
      <x:c r="E184" s="9" t="n">
        <x:f>IF(ISNUMBER('原始月度'!F184),'原始月度'!F184*1000,"")</x:f>
        <x:v>9085000</x:v>
      </x:c>
      <x:c r="F184" s="9" t="str">
        <x:f>IF(ISNUMBER('原始月度'!G184),'原始月度'!G184,"")</x:f>
      </x:c>
      <x:c r="G184" s="6" t="str">
        <x:v>原报非零值</x:v>
      </x:c>
      <x:c r="H184" s="6" t="str">
        <x:v>原报值</x:v>
      </x:c>
      <x:c r="I184" s="6" t="str">
        <x:v>未取得月度量</x:v>
      </x:c>
    </x:row>
    <x:row r="185" ht="25" customHeight="1">
      <x:c r="A185" s="8" t="d">
        <x:v>2016-04-01T00:00:00.000Z</x:v>
      </x:c>
      <x:c r="B185" s="10" t="n">
        <x:f>'原始月度'!C185*1000</x:f>
        <x:v>19360530</x:v>
      </x:c>
      <x:c r="C185" s="10" t="n">
        <x:f>IF('原始月度'!D185=0,"",'原始月度'!D185*1000)</x:f>
        <x:v>17197990</x:v>
      </x:c>
      <x:c r="D185" s="10" t="n">
        <x:f>'原始月度'!E185*1000</x:f>
        <x:v>17722700</x:v>
      </x:c>
      <x:c r="E185" s="10" t="n">
        <x:f>IF(ISNUMBER('原始月度'!F185),'原始月度'!F185*1000,"")</x:f>
        <x:v>14187670</x:v>
      </x:c>
      <x:c r="F185" s="10" t="str">
        <x:f>IF(ISNUMBER('原始月度'!G185),'原始月度'!G185,"")</x:f>
      </x:c>
      <x:c r="G185" s="2" t="str">
        <x:v>原报非零值</x:v>
      </x:c>
      <x:c r="H185" s="2" t="str">
        <x:v>原报值</x:v>
      </x:c>
      <x:c r="I185" s="2" t="str">
        <x:v>未取得月度量</x:v>
      </x:c>
    </x:row>
    <x:row r="186" ht="25" customHeight="1">
      <x:c r="A186" s="7" t="d">
        <x:v>2016-05-01T00:00:00.000Z</x:v>
      </x:c>
      <x:c r="B186" s="9" t="n">
        <x:f>'原始月度'!C186*1000</x:f>
        <x:v>30020570</x:v>
      </x:c>
      <x:c r="C186" s="9" t="n">
        <x:f>IF('原始月度'!D186=0,"",'原始月度'!D186*1000)</x:f>
        <x:v>17729250</x:v>
      </x:c>
      <x:c r="D186" s="9" t="n">
        <x:f>'原始月度'!E186*1000</x:f>
        <x:v>18773240</x:v>
      </x:c>
      <x:c r="E186" s="9" t="n">
        <x:f>IF(ISNUMBER('原始月度'!F186),'原始月度'!F186*1000,"")</x:f>
        <x:v>18682910</x:v>
      </x:c>
      <x:c r="F186" s="9" t="str">
        <x:f>IF(ISNUMBER('原始月度'!G186),'原始月度'!G186,"")</x:f>
      </x:c>
      <x:c r="G186" s="6" t="str">
        <x:v>原报非零值</x:v>
      </x:c>
      <x:c r="H186" s="6" t="str">
        <x:v>原报值</x:v>
      </x:c>
      <x:c r="I186" s="6" t="str">
        <x:v>未取得月度量</x:v>
      </x:c>
    </x:row>
    <x:row r="187" ht="25" customHeight="1">
      <x:c r="A187" s="8" t="d">
        <x:v>2016-06-01T00:00:00.000Z</x:v>
      </x:c>
      <x:c r="B187" s="10" t="n">
        <x:f>'原始月度'!C187*1000</x:f>
        <x:v>40027820</x:v>
      </x:c>
      <x:c r="C187" s="10" t="n">
        <x:f>IF('原始月度'!D187=0,"",'原始月度'!D187*1000)</x:f>
        <x:v>19938240</x:v>
      </x:c>
      <x:c r="D187" s="10" t="n">
        <x:f>'原始月度'!E187*1000</x:f>
        <x:v>20422460</x:v>
      </x:c>
      <x:c r="E187" s="10" t="n">
        <x:f>IF(ISNUMBER('原始月度'!F187),'原始月度'!F187*1000,"")</x:f>
        <x:v>13065330</x:v>
      </x:c>
      <x:c r="F187" s="10" t="str">
        <x:f>IF(ISNUMBER('原始月度'!G187),'原始月度'!G187,"")</x:f>
      </x:c>
      <x:c r="G187" s="2" t="str">
        <x:v>原报非零值</x:v>
      </x:c>
      <x:c r="H187" s="2" t="str">
        <x:v>原报值</x:v>
      </x:c>
      <x:c r="I187" s="2" t="str">
        <x:v>未取得月度量</x:v>
      </x:c>
    </x:row>
    <x:row r="188" ht="25" customHeight="1">
      <x:c r="A188" s="7" t="d">
        <x:v>2016-07-01T00:00:00.000Z</x:v>
      </x:c>
      <x:c r="B188" s="9" t="n">
        <x:f>'原始月度'!C188*1000</x:f>
        <x:v>18693400</x:v>
      </x:c>
      <x:c r="C188" s="9" t="n">
        <x:f>IF('原始月度'!D188=0,"",'原始月度'!D188*1000)</x:f>
        <x:v>9017150</x:v>
      </x:c>
      <x:c r="D188" s="9" t="n">
        <x:f>'原始月度'!E188*1000</x:f>
        <x:v>9311880</x:v>
      </x:c>
      <x:c r="E188" s="9" t="n">
        <x:f>IF(ISNUMBER('原始月度'!F188),'原始月度'!F188*1000,"")</x:f>
        <x:v>7014880</x:v>
      </x:c>
      <x:c r="F188" s="9" t="str">
        <x:f>IF(ISNUMBER('原始月度'!G188),'原始月度'!G188,"")</x:f>
      </x:c>
      <x:c r="G188" s="6" t="str">
        <x:v>原报非零值</x:v>
      </x:c>
      <x:c r="H188" s="6" t="str">
        <x:v>原报值</x:v>
      </x:c>
      <x:c r="I188" s="6" t="str">
        <x:v>未取得月度量</x:v>
      </x:c>
    </x:row>
    <x:row r="189" ht="25" customHeight="1">
      <x:c r="A189" s="8" t="d">
        <x:v>2016-08-01T00:00:00.000Z</x:v>
      </x:c>
      <x:c r="B189" s="10" t="n">
        <x:f>'原始月度'!C189*1000</x:f>
        <x:v>29248580</x:v>
      </x:c>
      <x:c r="C189" s="10" t="n">
        <x:f>IF('原始月度'!D189=0,"",'原始月度'!D189*1000)</x:f>
        <x:v>13122810</x:v>
      </x:c>
      <x:c r="D189" s="10" t="n">
        <x:f>'原始月度'!E189*1000</x:f>
        <x:v>13565090</x:v>
      </x:c>
      <x:c r="E189" s="10" t="n">
        <x:f>IF(ISNUMBER('原始月度'!F189),'原始月度'!F189*1000,"")</x:f>
        <x:v>7026160</x:v>
      </x:c>
      <x:c r="F189" s="10" t="str">
        <x:f>IF(ISNUMBER('原始月度'!G189),'原始月度'!G189,"")</x:f>
      </x:c>
      <x:c r="G189" s="2" t="str">
        <x:v>原报非零值</x:v>
      </x:c>
      <x:c r="H189" s="2" t="str">
        <x:v>原报值</x:v>
      </x:c>
      <x:c r="I189" s="2" t="str">
        <x:v>未取得月度量</x:v>
      </x:c>
    </x:row>
    <x:row r="190" ht="25" customHeight="1">
      <x:c r="A190" s="7" t="d">
        <x:v>2016-09-01T00:00:00.000Z</x:v>
      </x:c>
      <x:c r="B190" s="9" t="n">
        <x:f>'原始月度'!C190*1000</x:f>
        <x:v>20719540</x:v>
      </x:c>
      <x:c r="C190" s="9" t="n">
        <x:f>IF('原始月度'!D190=0,"",'原始月度'!D190*1000)</x:f>
        <x:v>13138910</x:v>
      </x:c>
      <x:c r="D190" s="9" t="n">
        <x:f>'原始月度'!E190*1000</x:f>
        <x:v>13439320</x:v>
      </x:c>
      <x:c r="E190" s="9" t="n">
        <x:f>IF(ISNUMBER('原始月度'!F190),'原始月度'!F190*1000,"")</x:f>
        <x:v>9443900</x:v>
      </x:c>
      <x:c r="F190" s="9" t="str">
        <x:f>IF(ISNUMBER('原始月度'!G190),'原始月度'!G190,"")</x:f>
      </x:c>
      <x:c r="G190" s="6" t="str">
        <x:v>原报非零值</x:v>
      </x:c>
      <x:c r="H190" s="6" t="str">
        <x:v>原报值</x:v>
      </x:c>
      <x:c r="I190" s="6" t="str">
        <x:v>未取得月度量</x:v>
      </x:c>
    </x:row>
    <x:row r="191" ht="25" customHeight="1">
      <x:c r="A191" s="8" t="d">
        <x:v>2016-10-01T00:00:00.000Z</x:v>
      </x:c>
      <x:c r="B191" s="10" t="n">
        <x:f>'原始月度'!C191*1000</x:f>
        <x:v>18509150</x:v>
      </x:c>
      <x:c r="C191" s="10" t="n">
        <x:f>IF('原始月度'!D191=0,"",'原始月度'!D191*1000)</x:f>
        <x:v>10042920</x:v>
      </x:c>
      <x:c r="D191" s="10" t="n">
        <x:f>'原始月度'!E191*1000</x:f>
        <x:v>10521300</x:v>
      </x:c>
      <x:c r="E191" s="10" t="n">
        <x:f>IF(ISNUMBER('原始月度'!F191),'原始月度'!F191*1000,"")</x:f>
        <x:v>12367670</x:v>
      </x:c>
      <x:c r="F191" s="10" t="str">
        <x:f>IF(ISNUMBER('原始月度'!G191),'原始月度'!G191,"")</x:f>
      </x:c>
      <x:c r="G191" s="2" t="str">
        <x:v>原报非零值</x:v>
      </x:c>
      <x:c r="H191" s="2" t="str">
        <x:v>原报值</x:v>
      </x:c>
      <x:c r="I191" s="2" t="str">
        <x:v>未取得月度量</x:v>
      </x:c>
    </x:row>
    <x:row r="192" ht="25" customHeight="1">
      <x:c r="A192" s="7" t="d">
        <x:v>2016-11-01T00:00:00.000Z</x:v>
      </x:c>
      <x:c r="B192" s="9" t="n">
        <x:f>'原始月度'!C192*1000</x:f>
        <x:v>17197500</x:v>
      </x:c>
      <x:c r="C192" s="9" t="n">
        <x:f>IF('原始月度'!D192=0,"",'原始月度'!D192*1000)</x:f>
        <x:v>20344260</x:v>
      </x:c>
      <x:c r="D192" s="9" t="n">
        <x:f>'原始月度'!E192*1000</x:f>
        <x:v>192680</x:v>
      </x:c>
      <x:c r="E192" s="9" t="n">
        <x:f>IF(ISNUMBER('原始月度'!F192),'原始月度'!F192*1000,"")</x:f>
        <x:v>11958820</x:v>
      </x:c>
      <x:c r="F192" s="9" t="str">
        <x:f>IF(ISNUMBER('原始月度'!G192),'原始月度'!G192,"")</x:f>
      </x:c>
      <x:c r="G192" s="6" t="str">
        <x:v>原报非零值</x:v>
      </x:c>
      <x:c r="H192" s="6" t="str">
        <x:v>原报值</x:v>
      </x:c>
      <x:c r="I192" s="6" t="str">
        <x:v>未取得月度量</x:v>
      </x:c>
    </x:row>
    <x:row r="193" ht="25" customHeight="1">
      <x:c r="A193" s="8" t="d">
        <x:v>2016-12-01T00:00:00.000Z</x:v>
      </x:c>
      <x:c r="B193" s="10" t="n">
        <x:f>'原始月度'!C193*1000</x:f>
        <x:v>45053490</x:v>
      </x:c>
      <x:c r="C193" s="10" t="n">
        <x:f>IF('原始月度'!D193=0,"",'原始月度'!D193*1000)</x:f>
        <x:v>12290570</x:v>
      </x:c>
      <x:c r="D193" s="10" t="n">
        <x:f>'原始月度'!E193*1000</x:f>
        <x:v>12457190</x:v>
      </x:c>
      <x:c r="E193" s="10" t="n">
        <x:f>IF(ISNUMBER('原始月度'!F193),'原始月度'!F193*1000,"")</x:f>
        <x:v>15037870</x:v>
      </x:c>
      <x:c r="F193" s="10" t="str">
        <x:f>IF(ISNUMBER('原始月度'!G193),'原始月度'!G193,"")</x:f>
      </x:c>
      <x:c r="G193" s="2" t="str">
        <x:v>原报非零值</x:v>
      </x:c>
      <x:c r="H193" s="2" t="str">
        <x:v>原报值</x:v>
      </x:c>
      <x:c r="I193" s="2" t="str">
        <x:v>未取得月度量</x:v>
      </x:c>
    </x:row>
    <x:row r="194" ht="25" customHeight="1">
      <x:c r="A194" s="7" t="d">
        <x:v>2017-01-01T00:00:00.000Z</x:v>
      </x:c>
      <x:c r="B194" s="9" t="n">
        <x:f>'原始月度'!C194*1000</x:f>
        <x:v>60475470</x:v>
      </x:c>
      <x:c r="C194" s="9" t="n">
        <x:f>IF('原始月度'!D194=0,"",'原始月度'!D194*1000)</x:f>
        <x:v>15839610</x:v>
      </x:c>
      <x:c r="D194" s="9" t="n">
        <x:f>'原始月度'!E194*1000</x:f>
        <x:v>15949790</x:v>
      </x:c>
      <x:c r="E194" s="9" t="n">
        <x:f>IF(ISNUMBER('原始月度'!F194),'原始月度'!F194*1000,"")</x:f>
        <x:v>17840370</x:v>
      </x:c>
      <x:c r="F194" s="9" t="n">
        <x:f>IF(ISNUMBER('原始月度'!G194),'原始月度'!G194,"")</x:f>
        <x:v>632966</x:v>
      </x:c>
      <x:c r="G194" s="6" t="str">
        <x:v>原报非零值</x:v>
      </x:c>
      <x:c r="H194" s="6" t="str">
        <x:v>原报值</x:v>
      </x:c>
      <x:c r="I194" s="6" t="str">
        <x:v>原报值</x:v>
      </x:c>
    </x:row>
    <x:row r="195" ht="25" customHeight="1">
      <x:c r="A195" s="8" t="d">
        <x:v>2017-02-01T00:00:00.000Z</x:v>
      </x:c>
      <x:c r="B195" s="10" t="n">
        <x:f>'原始月度'!C195*1000</x:f>
        <x:v>41817830</x:v>
      </x:c>
      <x:c r="C195" s="10" t="n">
        <x:f>IF('原始月度'!D195=0,"",'原始月度'!D195*1000)</x:f>
        <x:v>13107150</x:v>
      </x:c>
      <x:c r="D195" s="10" t="n">
        <x:f>'原始月度'!E195*1000</x:f>
        <x:v>13162510</x:v>
      </x:c>
      <x:c r="E195" s="10" t="n">
        <x:f>IF(ISNUMBER('原始月度'!F195),'原始月度'!F195*1000,"")</x:f>
        <x:v>22847570</x:v>
      </x:c>
      <x:c r="F195" s="10" t="n">
        <x:f>IF(ISNUMBER('原始月度'!G195),'原始月度'!G195,"")</x:f>
        <x:v>754186</x:v>
      </x:c>
      <x:c r="G195" s="2" t="str">
        <x:v>原报非零值</x:v>
      </x:c>
      <x:c r="H195" s="2" t="str">
        <x:v>原报值</x:v>
      </x:c>
      <x:c r="I195" s="2" t="str">
        <x:v>原报值</x:v>
      </x:c>
    </x:row>
    <x:row r="196" ht="25" customHeight="1">
      <x:c r="A196" s="7" t="d">
        <x:v>2017-03-01T00:00:00.000Z</x:v>
      </x:c>
      <x:c r="B196" s="9" t="n">
        <x:f>'原始月度'!C196*1000</x:f>
        <x:v>59354350</x:v>
      </x:c>
      <x:c r="C196" s="9" t="n">
        <x:f>IF('原始月度'!D196=0,"",'原始月度'!D196*1000)</x:f>
        <x:v>17942360</x:v>
      </x:c>
      <x:c r="D196" s="9" t="n">
        <x:f>'原始月度'!E196*1000</x:f>
        <x:v>18123780</x:v>
      </x:c>
      <x:c r="E196" s="9" t="n">
        <x:f>IF(ISNUMBER('原始月度'!F196),'原始月度'!F196*1000,"")</x:f>
        <x:v>32119630</x:v>
      </x:c>
      <x:c r="F196" s="9" t="n">
        <x:f>IF(ISNUMBER('原始月度'!G196),'原始月度'!G196,"")</x:f>
        <x:v>911149</x:v>
      </x:c>
      <x:c r="G196" s="6" t="str">
        <x:v>原报非零值</x:v>
      </x:c>
      <x:c r="H196" s="6" t="str">
        <x:v>原报值</x:v>
      </x:c>
      <x:c r="I196" s="6" t="str">
        <x:v>原报值</x:v>
      </x:c>
    </x:row>
    <x:row r="197" ht="25" customHeight="1">
      <x:c r="A197" s="8" t="d">
        <x:v>2017-04-01T00:00:00.000Z</x:v>
      </x:c>
      <x:c r="B197" s="10" t="n">
        <x:f>'原始月度'!C197*1000</x:f>
        <x:v>35797830</x:v>
      </x:c>
      <x:c r="C197" s="10" t="n">
        <x:f>IF('原始月度'!D197=0,"",'原始月度'!D197*1000)</x:f>
        <x:v>14903590</x:v>
      </x:c>
      <x:c r="D197" s="10" t="n">
        <x:f>'原始月度'!E197*1000</x:f>
        <x:v>15045340</x:v>
      </x:c>
      <x:c r="E197" s="10" t="n">
        <x:f>IF(ISNUMBER('原始月度'!F197),'原始月度'!F197*1000,"")</x:f>
        <x:v>14589980</x:v>
      </x:c>
      <x:c r="F197" s="10" t="n">
        <x:f>IF(ISNUMBER('原始月度'!G197),'原始月度'!G197,"")</x:f>
        <x:v>619908.28</x:v>
      </x:c>
      <x:c r="G197" s="2" t="str">
        <x:v>原报非零值</x:v>
      </x:c>
      <x:c r="H197" s="2" t="str">
        <x:v>原报值</x:v>
      </x:c>
      <x:c r="I197" s="2" t="str">
        <x:v>原报值</x:v>
      </x:c>
    </x:row>
    <x:row r="198" ht="25" customHeight="1">
      <x:c r="A198" s="7" t="d">
        <x:v>2017-05-01T00:00:00.000Z</x:v>
      </x:c>
      <x:c r="B198" s="9" t="n">
        <x:f>'原始月度'!C198*1000</x:f>
        <x:v>23347910</x:v>
      </x:c>
      <x:c r="C198" s="9" t="n">
        <x:f>IF('原始月度'!D198=0,"",'原始月度'!D198*1000)</x:f>
        <x:v>13161310</x:v>
      </x:c>
      <x:c r="D198" s="9" t="n">
        <x:f>'原始月度'!E198*1000</x:f>
        <x:v>13462070</x:v>
      </x:c>
      <x:c r="E198" s="9" t="n">
        <x:f>IF(ISNUMBER('原始月度'!F198),'原始月度'!F198*1000,"")</x:f>
        <x:v>5893920</x:v>
      </x:c>
      <x:c r="F198" s="9" t="n">
        <x:f>IF(ISNUMBER('原始月度'!G198),'原始月度'!G198,"")</x:f>
        <x:v>610902.44</x:v>
      </x:c>
      <x:c r="G198" s="6" t="str">
        <x:v>原报非零值</x:v>
      </x:c>
      <x:c r="H198" s="6" t="str">
        <x:v>原报值</x:v>
      </x:c>
      <x:c r="I198" s="6" t="str">
        <x:v>原报值</x:v>
      </x:c>
    </x:row>
    <x:row r="199" ht="25" customHeight="1">
      <x:c r="A199" s="8" t="d">
        <x:v>2017-06-01T00:00:00.000Z</x:v>
      </x:c>
      <x:c r="B199" s="10" t="n">
        <x:f>'原始月度'!C199*1000</x:f>
        <x:v>27877770</x:v>
      </x:c>
      <x:c r="C199" s="10" t="n">
        <x:f>IF('原始月度'!D199=0,"",'原始月度'!D199*1000)</x:f>
        <x:v>11924270</x:v>
      </x:c>
      <x:c r="D199" s="10" t="n">
        <x:f>'原始月度'!E199*1000</x:f>
        <x:v>12054740</x:v>
      </x:c>
      <x:c r="E199" s="10" t="n">
        <x:f>IF(ISNUMBER('原始月度'!F199),'原始月度'!F199*1000,"")</x:f>
        <x:v>6355080</x:v>
      </x:c>
      <x:c r="F199" s="10" t="n">
        <x:f>IF(ISNUMBER('原始月度'!G199),'原始月度'!G199,"")</x:f>
        <x:v>446759.96</x:v>
      </x:c>
      <x:c r="G199" s="2" t="str">
        <x:v>原报非零值</x:v>
      </x:c>
      <x:c r="H199" s="2" t="str">
        <x:v>原报值</x:v>
      </x:c>
      <x:c r="I199" s="2" t="str">
        <x:v>原报值</x:v>
      </x:c>
    </x:row>
    <x:row r="200" ht="25" customHeight="1">
      <x:c r="A200" s="7" t="d">
        <x:v>2017-07-01T00:00:00.000Z</x:v>
      </x:c>
      <x:c r="B200" s="9" t="n">
        <x:f>'原始月度'!C200*1000</x:f>
        <x:v>32654820</x:v>
      </x:c>
      <x:c r="C200" s="9" t="n">
        <x:f>IF('原始月度'!D200=0,"",'原始月度'!D200*1000)</x:f>
        <x:v>9818410</x:v>
      </x:c>
      <x:c r="D200" s="9" t="n">
        <x:f>'原始月度'!E200*1000</x:f>
        <x:v>9976800</x:v>
      </x:c>
      <x:c r="E200" s="9" t="n">
        <x:f>IF(ISNUMBER('原始月度'!F200),'原始月度'!F200*1000,"")</x:f>
        <x:v>8726490</x:v>
      </x:c>
      <x:c r="F200" s="9" t="n">
        <x:f>IF(ISNUMBER('原始月度'!G200),'原始月度'!G200,"")</x:f>
        <x:v>449619.14</x:v>
      </x:c>
      <x:c r="G200" s="6" t="str">
        <x:v>原报非零值</x:v>
      </x:c>
      <x:c r="H200" s="6" t="str">
        <x:v>原报值</x:v>
      </x:c>
      <x:c r="I200" s="6" t="str">
        <x:v>原报值</x:v>
      </x:c>
    </x:row>
    <x:row r="201" ht="25" customHeight="1">
      <x:c r="A201" s="8" t="d">
        <x:v>2017-08-01T00:00:00.000Z</x:v>
      </x:c>
      <x:c r="B201" s="10" t="n">
        <x:f>'原始月度'!C201*1000</x:f>
        <x:v>23688160</x:v>
      </x:c>
      <x:c r="C201" s="10" t="n">
        <x:f>IF('原始月度'!D201=0,"",'原始月度'!D201*1000)</x:f>
        <x:v>16452150.000000002</x:v>
      </x:c>
      <x:c r="D201" s="10" t="n">
        <x:f>'原始月度'!E201*1000</x:f>
        <x:v>18395520</x:v>
      </x:c>
      <x:c r="E201" s="10" t="n">
        <x:f>IF(ISNUMBER('原始月度'!F201),'原始月度'!F201*1000,"")</x:f>
        <x:v>7026160</x:v>
      </x:c>
      <x:c r="F201" s="10" t="n">
        <x:f>IF(ISNUMBER('原始月度'!G201),'原始月度'!G201,"")</x:f>
        <x:v>297738</x:v>
      </x:c>
      <x:c r="G201" s="2" t="str">
        <x:v>原报非零值</x:v>
      </x:c>
      <x:c r="H201" s="2" t="str">
        <x:v>原报值</x:v>
      </x:c>
      <x:c r="I201" s="2" t="str">
        <x:v>原报值</x:v>
      </x:c>
    </x:row>
    <x:row r="202" ht="25" customHeight="1">
      <x:c r="A202" s="7" t="d">
        <x:v>2017-09-01T00:00:00.000Z</x:v>
      </x:c>
      <x:c r="B202" s="9" t="n">
        <x:f>'原始月度'!C202*1000</x:f>
        <x:v>58172780</x:v>
      </x:c>
      <x:c r="C202" s="9" t="n">
        <x:f>IF('原始月度'!D202=0,"",'原始月度'!D202*1000)</x:f>
        <x:v>22395980</x:v>
      </x:c>
      <x:c r="D202" s="9" t="n">
        <x:f>'原始月度'!E202*1000</x:f>
        <x:v>22477550</x:v>
      </x:c>
      <x:c r="E202" s="9" t="n">
        <x:f>IF(ISNUMBER('原始月度'!F202),'原始月度'!F202*1000,"")</x:f>
        <x:v>10817870</x:v>
      </x:c>
      <x:c r="F202" s="9" t="n">
        <x:f>IF(ISNUMBER('原始月度'!G202),'原始月度'!G202,"")</x:f>
        <x:v>614373.05</x:v>
      </x:c>
      <x:c r="G202" s="6" t="str">
        <x:v>原报非零值</x:v>
      </x:c>
      <x:c r="H202" s="6" t="str">
        <x:v>原报值</x:v>
      </x:c>
      <x:c r="I202" s="6" t="str">
        <x:v>原报值</x:v>
      </x:c>
    </x:row>
    <x:row r="203" ht="25" customHeight="1">
      <x:c r="A203" s="8" t="d">
        <x:v>2017-10-01T00:00:00.000Z</x:v>
      </x:c>
      <x:c r="B203" s="10" t="n">
        <x:f>'原始月度'!C203*1000</x:f>
        <x:v>18857760</x:v>
      </x:c>
      <x:c r="C203" s="10" t="n">
        <x:f>IF('原始月度'!D203=0,"",'原始月度'!D203*1000)</x:f>
        <x:v>11070530</x:v>
      </x:c>
      <x:c r="D203" s="10" t="n">
        <x:f>'原始月度'!E203*1000</x:f>
        <x:v>11377900</x:v>
      </x:c>
      <x:c r="E203" s="10" t="n">
        <x:f>IF(ISNUMBER('原始月度'!F203),'原始月度'!F203*1000,"")</x:f>
        <x:v>5688520</x:v>
      </x:c>
      <x:c r="F203" s="10" t="n">
        <x:f>IF(ISNUMBER('原始月度'!G203),'原始月度'!G203,"")</x:f>
        <x:v>605450.43</x:v>
      </x:c>
      <x:c r="G203" s="2" t="str">
        <x:v>原报非零值</x:v>
      </x:c>
      <x:c r="H203" s="2" t="str">
        <x:v>原报值</x:v>
      </x:c>
      <x:c r="I203" s="2" t="str">
        <x:v>原报值</x:v>
      </x:c>
    </x:row>
    <x:row r="204" ht="25" customHeight="1">
      <x:c r="A204" s="7" t="d">
        <x:v>2017-11-01T00:00:00.000Z</x:v>
      </x:c>
      <x:c r="B204" s="9" t="n">
        <x:f>'原始月度'!C204*1000</x:f>
        <x:v>21037350</x:v>
      </x:c>
      <x:c r="C204" s="9" t="n">
        <x:f>IF('原始月度'!D204=0,"",'原始月度'!D204*1000)</x:f>
        <x:v>32921239.999999996</x:v>
      </x:c>
      <x:c r="D204" s="9" t="n">
        <x:f>'原始月度'!E204*1000</x:f>
        <x:v>992760</x:v>
      </x:c>
      <x:c r="E204" s="9" t="str">
        <x:f>IF(ISNUMBER('原始月度'!F204),'原始月度'!F204*1000,"")</x:f>
      </x:c>
      <x:c r="F204" s="9" t="n">
        <x:f>IF(ISNUMBER('原始月度'!G204),'原始月度'!G204,"")</x:f>
        <x:v>0</x:v>
      </x:c>
      <x:c r="G204" s="6" t="str">
        <x:v>原报非零值</x:v>
      </x:c>
      <x:c r="H204" s="6" t="str">
        <x:v>未披露</x:v>
      </x:c>
      <x:c r="I204" s="6" t="str">
        <x:v>原表明确为0</x:v>
      </x:c>
    </x:row>
    <x:row r="205" ht="25" customHeight="1">
      <x:c r="A205" s="8" t="d">
        <x:v>2017-12-01T00:00:00.000Z</x:v>
      </x:c>
      <x:c r="B205" s="10" t="n">
        <x:f>'原始月度'!C205*1000</x:f>
        <x:v>48762980</x:v>
      </x:c>
      <x:c r="C205" s="10" t="n">
        <x:f>IF('原始月度'!D205=0,"",'原始月度'!D205*1000)</x:f>
        <x:v>18489460</x:v>
      </x:c>
      <x:c r="D205" s="10" t="n">
        <x:f>'原始月度'!E205*1000</x:f>
        <x:v>479490</x:v>
      </x:c>
      <x:c r="E205" s="10" t="str">
        <x:f>IF(ISNUMBER('原始月度'!F205),'原始月度'!F205*1000,"")</x:f>
      </x:c>
      <x:c r="F205" s="10" t="n">
        <x:f>IF(ISNUMBER('原始月度'!G205),'原始月度'!G205,"")</x:f>
        <x:v>0</x:v>
      </x:c>
      <x:c r="G205" s="2" t="str">
        <x:v>原报非零值</x:v>
      </x:c>
      <x:c r="H205" s="2" t="str">
        <x:v>未披露</x:v>
      </x:c>
      <x:c r="I205" s="2" t="str">
        <x:v>原表明确为0</x:v>
      </x:c>
    </x:row>
    <x:row r="206" ht="25" customHeight="1">
      <x:c r="A206" s="7" t="d">
        <x:v>2018-01-01T00:00:00.000Z</x:v>
      </x:c>
      <x:c r="B206" s="9" t="n">
        <x:f>'原始月度'!C206*1000</x:f>
        <x:v>62337000</x:v>
      </x:c>
      <x:c r="C206" s="9" t="n">
        <x:f>IF('原始月度'!D206=0,"",'原始月度'!D206*1000)</x:f>
        <x:v>21491720</x:v>
      </x:c>
      <x:c r="D206" s="9" t="n">
        <x:f>'原始月度'!E206*1000</x:f>
        <x:v>21646850</x:v>
      </x:c>
      <x:c r="E206" s="9" t="str">
        <x:f>IF(ISNUMBER('原始月度'!F206),'原始月度'!F206*1000,"")</x:f>
      </x:c>
      <x:c r="F206" s="9" t="n">
        <x:f>IF(ISNUMBER('原始月度'!G206),'原始月度'!G206,"")</x:f>
        <x:v>0</x:v>
      </x:c>
      <x:c r="G206" s="6" t="str">
        <x:v>原报非零值</x:v>
      </x:c>
      <x:c r="H206" s="6" t="str">
        <x:v>未披露</x:v>
      </x:c>
      <x:c r="I206" s="6" t="str">
        <x:v>原表明确为0</x:v>
      </x:c>
    </x:row>
    <x:row r="207" ht="25" customHeight="1">
      <x:c r="A207" s="8" t="d">
        <x:v>2018-02-01T00:00:00.000Z</x:v>
      </x:c>
      <x:c r="B207" s="10" t="n">
        <x:f>'原始月度'!C207*1000</x:f>
        <x:v>51589670</x:v>
      </x:c>
      <x:c r="C207" s="10" t="n">
        <x:f>IF('原始月度'!D207=0,"",'原始月度'!D207*1000)</x:f>
        <x:v>18809700</x:v>
      </x:c>
      <x:c r="D207" s="10" t="n">
        <x:f>'原始月度'!E207*1000</x:f>
        <x:v>19038250</x:v>
      </x:c>
      <x:c r="E207" s="10" t="n">
        <x:f>IF(ISNUMBER('原始月度'!F207),'原始月度'!F207*1000,"")</x:f>
        <x:v>2756420</x:v>
      </x:c>
      <x:c r="F207" s="10" t="n">
        <x:f>IF(ISNUMBER('原始月度'!G207),'原始月度'!G207,"")</x:f>
        <x:v>199563</x:v>
      </x:c>
      <x:c r="G207" s="2" t="str">
        <x:v>原报非零值</x:v>
      </x:c>
      <x:c r="H207" s="2" t="str">
        <x:v>原报值</x:v>
      </x:c>
      <x:c r="I207" s="2" t="str">
        <x:v>原报值</x:v>
      </x:c>
    </x:row>
    <x:row r="208" ht="25" customHeight="1">
      <x:c r="A208" s="7" t="d">
        <x:v>2018-03-01T00:00:00.000Z</x:v>
      </x:c>
      <x:c r="B208" s="9" t="n">
        <x:f>'原始月度'!C208*1000</x:f>
        <x:v>20838510</x:v>
      </x:c>
      <x:c r="C208" s="9" t="n">
        <x:f>IF('原始月度'!D208=0,"",'原始月度'!D208*1000)</x:f>
        <x:v>19949980</x:v>
      </x:c>
      <x:c r="D208" s="9" t="n">
        <x:f>'原始月度'!E208*1000</x:f>
        <x:v>20197660</x:v>
      </x:c>
      <x:c r="E208" s="9" t="n">
        <x:f>IF(ISNUMBER('原始月度'!F208),'原始月度'!F208*1000,"")</x:f>
        <x:v>5591140</x:v>
      </x:c>
      <x:c r="F208" s="9" t="n">
        <x:f>IF(ISNUMBER('原始月度'!G208),'原始月度'!G208,"")</x:f>
        <x:v>460382.51</x:v>
      </x:c>
      <x:c r="G208" s="6" t="str">
        <x:v>原报非零值</x:v>
      </x:c>
      <x:c r="H208" s="6" t="str">
        <x:v>原报值</x:v>
      </x:c>
      <x:c r="I208" s="6" t="str">
        <x:v>原报值</x:v>
      </x:c>
    </x:row>
    <x:row r="209" ht="25" customHeight="1">
      <x:c r="A209" s="8" t="d">
        <x:v>2018-04-01T00:00:00.000Z</x:v>
      </x:c>
      <x:c r="B209" s="10" t="n">
        <x:f>'原始月度'!C209*1000</x:f>
        <x:v>12762040</x:v>
      </x:c>
      <x:c r="C209" s="10" t="n">
        <x:f>IF('原始月度'!D209=0,"",'原始月度'!D209*1000)</x:f>
        <x:v>38939990</x:v>
      </x:c>
      <x:c r="D209" s="10" t="n">
        <x:f>'原始月度'!E209*1000</x:f>
        <x:v>39182600</x:v>
      </x:c>
      <x:c r="E209" s="10" t="n">
        <x:f>IF(ISNUMBER('原始月度'!F209),'原始月度'!F209*1000,"")</x:f>
        <x:v>2366270</x:v>
      </x:c>
      <x:c r="F209" s="10" t="n">
        <x:f>IF(ISNUMBER('原始月度'!G209),'原始月度'!G209,"")</x:f>
        <x:v>155493.73</x:v>
      </x:c>
      <x:c r="G209" s="2" t="str">
        <x:v>原报非零值</x:v>
      </x:c>
      <x:c r="H209" s="2" t="str">
        <x:v>原报值</x:v>
      </x:c>
      <x:c r="I209" s="2" t="str">
        <x:v>原报值</x:v>
      </x:c>
    </x:row>
    <x:row r="210" ht="25" customHeight="1">
      <x:c r="A210" s="7" t="d">
        <x:v>2018-05-01T00:00:00.000Z</x:v>
      </x:c>
      <x:c r="B210" s="9" t="n">
        <x:f>'原始月度'!C210*1000</x:f>
        <x:v>50321910</x:v>
      </x:c>
      <x:c r="C210" s="9" t="n">
        <x:f>IF('原始月度'!D210=0,"",'原始月度'!D210*1000)</x:f>
        <x:v>17244330</x:v>
      </x:c>
      <x:c r="D210" s="9" t="n">
        <x:f>'原始月度'!E210*1000</x:f>
        <x:v>17411950</x:v>
      </x:c>
      <x:c r="E210" s="9" t="n">
        <x:f>IF(ISNUMBER('原始月度'!F210),'原始月度'!F210*1000,"")</x:f>
        <x:v>2435420</x:v>
      </x:c>
      <x:c r="F210" s="9" t="n">
        <x:f>IF(ISNUMBER('原始月度'!G210),'原始月度'!G210,"")</x:f>
        <x:v>153145.78</x:v>
      </x:c>
      <x:c r="G210" s="6" t="str">
        <x:v>原报非零值</x:v>
      </x:c>
      <x:c r="H210" s="6" t="str">
        <x:v>原报值</x:v>
      </x:c>
      <x:c r="I210" s="6" t="str">
        <x:v>原报值</x:v>
      </x:c>
    </x:row>
    <x:row r="211" ht="25" customHeight="1">
      <x:c r="A211" s="8" t="d">
        <x:v>2018-06-01T00:00:00.000Z</x:v>
      </x:c>
      <x:c r="B211" s="10" t="n">
        <x:f>'原始月度'!C211*1000</x:f>
        <x:v>37564680</x:v>
      </x:c>
      <x:c r="C211" s="10" t="n">
        <x:f>IF('原始月度'!D211=0,"",'原始月度'!D211*1000)</x:f>
        <x:v>23079990</x:v>
      </x:c>
      <x:c r="D211" s="10" t="n">
        <x:f>'原始月度'!E211*1000</x:f>
        <x:v>23101000</x:v>
      </x:c>
      <x:c r="E211" s="10" t="str">
        <x:f>IF(ISNUMBER('原始月度'!F211),'原始月度'!F211*1000,"")</x:f>
      </x:c>
      <x:c r="F211" s="10" t="n">
        <x:f>IF(ISNUMBER('原始月度'!G211),'原始月度'!G211,"")</x:f>
        <x:v>0</x:v>
      </x:c>
      <x:c r="G211" s="2" t="str">
        <x:v>原报非零值</x:v>
      </x:c>
      <x:c r="H211" s="2" t="str">
        <x:v>未披露</x:v>
      </x:c>
      <x:c r="I211" s="2" t="str">
        <x:v>原表明确为0</x:v>
      </x:c>
    </x:row>
    <x:row r="212" ht="25" customHeight="1">
      <x:c r="A212" s="7" t="d">
        <x:v>2018-07-01T00:00:00.000Z</x:v>
      </x:c>
      <x:c r="B212" s="9" t="n">
        <x:f>'原始月度'!C212*1000</x:f>
        <x:v>20580330</x:v>
      </x:c>
      <x:c r="C212" s="9" t="n">
        <x:f>IF('原始月度'!D212=0,"",'原始月度'!D212*1000)</x:f>
        <x:v>15617600</x:v>
      </x:c>
      <x:c r="D212" s="9" t="n">
        <x:f>'原始月度'!E212*1000</x:f>
        <x:v>112194510</x:v>
      </x:c>
      <x:c r="E212" s="9" t="str">
        <x:f>IF(ISNUMBER('原始月度'!F212),'原始月度'!F212*1000,"")</x:f>
      </x:c>
      <x:c r="F212" s="9" t="n">
        <x:f>IF(ISNUMBER('原始月度'!G212),'原始月度'!G212,"")</x:f>
        <x:v>0</x:v>
      </x:c>
      <x:c r="G212" s="6" t="str">
        <x:v>原报非零值</x:v>
      </x:c>
      <x:c r="H212" s="6" t="str">
        <x:v>未披露</x:v>
      </x:c>
      <x:c r="I212" s="6" t="str">
        <x:v>原表明确为0</x:v>
      </x:c>
    </x:row>
    <x:row r="213" ht="25" customHeight="1">
      <x:c r="A213" s="8" t="d">
        <x:v>2018-08-01T00:00:00.000Z</x:v>
      </x:c>
      <x:c r="B213" s="10" t="n">
        <x:f>'原始月度'!C213*1000</x:f>
        <x:v>39594690</x:v>
      </x:c>
      <x:c r="C213" s="10" t="n">
        <x:f>IF('原始月度'!D213=0,"",'原始月度'!D213*1000)</x:f>
        <x:v>18948910</x:v>
      </x:c>
      <x:c r="D213" s="10" t="n">
        <x:f>'原始月度'!E213*1000</x:f>
        <x:v>19065850</x:v>
      </x:c>
      <x:c r="E213" s="10" t="str">
        <x:f>IF(ISNUMBER('原始月度'!F213),'原始月度'!F213*1000,"")</x:f>
      </x:c>
      <x:c r="F213" s="10" t="n">
        <x:f>IF(ISNUMBER('原始月度'!G213),'原始月度'!G213,"")</x:f>
        <x:v>0</x:v>
      </x:c>
      <x:c r="G213" s="2" t="str">
        <x:v>原报非零值</x:v>
      </x:c>
      <x:c r="H213" s="2" t="str">
        <x:v>未披露</x:v>
      </x:c>
      <x:c r="I213" s="2" t="str">
        <x:v>原表明确为0</x:v>
      </x:c>
    </x:row>
    <x:row r="214" ht="25" customHeight="1">
      <x:c r="A214" s="7" t="d">
        <x:v>2018-09-01T00:00:00.000Z</x:v>
      </x:c>
      <x:c r="B214" s="9" t="n">
        <x:f>'原始月度'!C214*1000</x:f>
        <x:v>26246100</x:v>
      </x:c>
      <x:c r="C214" s="9" t="n">
        <x:f>IF('原始月度'!D214=0,"",'原始月度'!D214*1000)</x:f>
        <x:v>11778330</x:v>
      </x:c>
      <x:c r="D214" s="9" t="n">
        <x:f>'原始月度'!E214*1000</x:f>
        <x:v>12195460</x:v>
      </x:c>
      <x:c r="E214" s="9" t="str">
        <x:f>IF(ISNUMBER('原始月度'!F214),'原始月度'!F214*1000,"")</x:f>
      </x:c>
      <x:c r="F214" s="9" t="n">
        <x:f>IF(ISNUMBER('原始月度'!G214),'原始月度'!G214,"")</x:f>
        <x:v>0</x:v>
      </x:c>
      <x:c r="G214" s="6" t="str">
        <x:v>原报非零值</x:v>
      </x:c>
      <x:c r="H214" s="6" t="str">
        <x:v>未披露</x:v>
      </x:c>
      <x:c r="I214" s="6" t="str">
        <x:v>原表明确为0</x:v>
      </x:c>
    </x:row>
    <x:row r="215" ht="25" customHeight="1">
      <x:c r="A215" s="8" t="d">
        <x:v>2018-10-01T00:00:00.000Z</x:v>
      </x:c>
      <x:c r="B215" s="10" t="n">
        <x:f>'原始月度'!C215*1000</x:f>
        <x:v>21034500</x:v>
      </x:c>
      <x:c r="C215" s="10" t="n">
        <x:f>IF('原始月度'!D215=0,"",'原始月度'!D215*1000)</x:f>
        <x:v>21642750</x:v>
      </x:c>
      <x:c r="D215" s="10" t="n">
        <x:f>'原始月度'!E215*1000</x:f>
        <x:v>22086100</x:v>
      </x:c>
      <x:c r="E215" s="10" t="str">
        <x:f>IF(ISNUMBER('原始月度'!F215),'原始月度'!F215*1000,"")</x:f>
      </x:c>
      <x:c r="F215" s="10" t="str">
        <x:f>IF(ISNUMBER('原始月度'!G215),'原始月度'!G215,"")</x:f>
      </x:c>
      <x:c r="G215" s="2" t="str">
        <x:v>原报非零值</x:v>
      </x:c>
      <x:c r="H215" s="2" t="str">
        <x:v>未披露</x:v>
      </x:c>
      <x:c r="I215" s="2" t="str">
        <x:v>源表空白</x:v>
      </x:c>
    </x:row>
    <x:row r="216" ht="25" customHeight="1">
      <x:c r="A216" s="7" t="d">
        <x:v>2018-11-01T00:00:00.000Z</x:v>
      </x:c>
      <x:c r="B216" s="9" t="n">
        <x:f>'原始月度'!C216*1000</x:f>
        <x:v>43178650</x:v>
      </x:c>
      <x:c r="C216" s="9" t="n">
        <x:f>IF('原始月度'!D216=0,"",'原始月度'!D216*1000)</x:f>
        <x:v>25000830</x:v>
      </x:c>
      <x:c r="D216" s="9" t="n">
        <x:f>'原始月度'!E216*1000</x:f>
        <x:v>25248640</x:v>
      </x:c>
      <x:c r="E216" s="9" t="str">
        <x:f>IF(ISNUMBER('原始月度'!F216),'原始月度'!F216*1000,"")</x:f>
      </x:c>
      <x:c r="F216" s="9" t="str">
        <x:f>IF(ISNUMBER('原始月度'!G216),'原始月度'!G216,"")</x:f>
      </x:c>
      <x:c r="G216" s="6" t="str">
        <x:v>原报非零值</x:v>
      </x:c>
      <x:c r="H216" s="6" t="str">
        <x:v>未披露</x:v>
      </x:c>
      <x:c r="I216" s="6" t="str">
        <x:v>源表空白</x:v>
      </x:c>
    </x:row>
    <x:row r="217" ht="25" customHeight="1">
      <x:c r="A217" s="8" t="d">
        <x:v>2018-12-01T00:00:00.000Z</x:v>
      </x:c>
      <x:c r="B217" s="10" t="n">
        <x:f>'原始月度'!C217*1000</x:f>
        <x:v>23299460</x:v>
      </x:c>
      <x:c r="C217" s="10" t="n">
        <x:f>IF('原始月度'!D217=0,"",'原始月度'!D217*1000)</x:f>
        <x:v>4319490</x:v>
      </x:c>
      <x:c r="D217" s="10" t="n">
        <x:f>'原始月度'!E217*1000</x:f>
        <x:v>4489800</x:v>
      </x:c>
      <x:c r="E217" s="10" t="str">
        <x:f>IF(ISNUMBER('原始月度'!F217),'原始月度'!F217*1000,"")</x:f>
      </x:c>
      <x:c r="F217" s="10" t="str">
        <x:f>IF(ISNUMBER('原始月度'!G217),'原始月度'!G217,"")</x:f>
      </x:c>
      <x:c r="G217" s="2" t="str">
        <x:v>原报非零值</x:v>
      </x:c>
      <x:c r="H217" s="2" t="str">
        <x:v>未披露</x:v>
      </x:c>
      <x:c r="I217" s="2" t="str">
        <x:v>源表空白</x:v>
      </x:c>
    </x:row>
    <x:row r="218" ht="25" customHeight="1">
      <x:c r="A218" s="7" t="d">
        <x:v>2019-01-01T00:00:00.000Z</x:v>
      </x:c>
      <x:c r="B218" s="9" t="n">
        <x:f>'原始月度'!C218*1000</x:f>
        <x:v>28124190</x:v>
      </x:c>
      <x:c r="C218" s="9" t="n">
        <x:f>IF('原始月度'!D218=0,"",'原始月度'!D218*1000)</x:f>
        <x:v>37491090</x:v>
      </x:c>
      <x:c r="D218" s="9" t="n">
        <x:f>'原始月度'!E218*1000</x:f>
        <x:v>37637930</x:v>
      </x:c>
      <x:c r="E218" s="9" t="str">
        <x:f>IF(ISNUMBER('原始月度'!F218),'原始月度'!F218*1000,"")</x:f>
      </x:c>
      <x:c r="F218" s="9" t="str">
        <x:f>IF(ISNUMBER('原始月度'!G218),'原始月度'!G218,"")</x:f>
      </x:c>
      <x:c r="G218" s="6" t="str">
        <x:v>原报非零值</x:v>
      </x:c>
      <x:c r="H218" s="6" t="str">
        <x:v>未披露</x:v>
      </x:c>
      <x:c r="I218" s="6" t="str">
        <x:v>未取得月度量</x:v>
      </x:c>
    </x:row>
    <x:row r="219" ht="25" customHeight="1">
      <x:c r="A219" s="8" t="d">
        <x:v>2019-02-01T00:00:00.000Z</x:v>
      </x:c>
      <x:c r="B219" s="10" t="n">
        <x:f>'原始月度'!C219*1000</x:f>
        <x:v>15257560</x:v>
      </x:c>
      <x:c r="C219" s="10" t="n">
        <x:f>IF('原始月度'!D219=0,"",'原始月度'!D219*1000)</x:f>
        <x:v>12869330</x:v>
      </x:c>
      <x:c r="D219" s="10" t="n">
        <x:f>'原始月度'!E219*1000</x:f>
        <x:v>13166180</x:v>
      </x:c>
      <x:c r="E219" s="10" t="str">
        <x:f>IF(ISNUMBER('原始月度'!F219),'原始月度'!F219*1000,"")</x:f>
      </x:c>
      <x:c r="F219" s="10" t="str">
        <x:f>IF(ISNUMBER('原始月度'!G219),'原始月度'!G219,"")</x:f>
      </x:c>
      <x:c r="G219" s="2" t="str">
        <x:v>原报非零值</x:v>
      </x:c>
      <x:c r="H219" s="2" t="str">
        <x:v>未披露</x:v>
      </x:c>
      <x:c r="I219" s="2" t="str">
        <x:v>未取得月度量</x:v>
      </x:c>
    </x:row>
    <x:row r="220" ht="25" customHeight="1">
      <x:c r="A220" s="7" t="d">
        <x:v>2019-03-01T00:00:00.000Z</x:v>
      </x:c>
      <x:c r="B220" s="9" t="n">
        <x:f>'原始月度'!C220*1000</x:f>
        <x:v>21477770</x:v>
      </x:c>
      <x:c r="C220" s="9" t="n">
        <x:f>IF('原始月度'!D220=0,"",'原始月度'!D220*1000)</x:f>
        <x:v>19680310</x:v>
      </x:c>
      <x:c r="D220" s="9" t="n">
        <x:f>'原始月度'!E220*1000</x:f>
        <x:v>19918010</x:v>
      </x:c>
      <x:c r="E220" s="9" t="str">
        <x:f>IF(ISNUMBER('原始月度'!F220),'原始月度'!F220*1000,"")</x:f>
      </x:c>
      <x:c r="F220" s="9" t="str">
        <x:f>IF(ISNUMBER('原始月度'!G220),'原始月度'!G220,"")</x:f>
      </x:c>
      <x:c r="G220" s="6" t="str">
        <x:v>原报非零值</x:v>
      </x:c>
      <x:c r="H220" s="6" t="str">
        <x:v>未披露</x:v>
      </x:c>
      <x:c r="I220" s="6" t="str">
        <x:v>未取得月度量</x:v>
      </x:c>
    </x:row>
    <x:row r="221" ht="25" customHeight="1">
      <x:c r="A221" s="8" t="d">
        <x:v>2019-04-01T00:00:00.000Z</x:v>
      </x:c>
      <x:c r="B221" s="10" t="n">
        <x:f>'原始月度'!C221*1000</x:f>
        <x:v>21207350</x:v>
      </x:c>
      <x:c r="C221" s="10" t="n">
        <x:f>IF('原始月度'!D221=0,"",'原始月度'!D221*1000)</x:f>
        <x:v>7013420</x:v>
      </x:c>
      <x:c r="D221" s="10" t="n">
        <x:f>'原始月度'!E221*1000</x:f>
        <x:v>7160360</x:v>
      </x:c>
      <x:c r="E221" s="10" t="str">
        <x:f>IF(ISNUMBER('原始月度'!F221),'原始月度'!F221*1000,"")</x:f>
      </x:c>
      <x:c r="F221" s="10" t="str">
        <x:f>IF(ISNUMBER('原始月度'!G221),'原始月度'!G221,"")</x:f>
      </x:c>
      <x:c r="G221" s="2" t="str">
        <x:v>原报非零值</x:v>
      </x:c>
      <x:c r="H221" s="2" t="str">
        <x:v>未披露</x:v>
      </x:c>
      <x:c r="I221" s="2" t="str">
        <x:v>未取得月度量</x:v>
      </x:c>
    </x:row>
    <x:row r="222" ht="25" customHeight="1">
      <x:c r="A222" s="7" t="d">
        <x:v>2019-05-01T00:00:00.000Z</x:v>
      </x:c>
      <x:c r="B222" s="9" t="n">
        <x:f>'原始月度'!C222*1000</x:f>
        <x:v>23136610</x:v>
      </x:c>
      <x:c r="C222" s="9" t="n">
        <x:f>IF('原始月度'!D222=0,"",'原始月度'!D222*1000)</x:f>
        <x:v>23898290</x:v>
      </x:c>
      <x:c r="D222" s="9" t="n">
        <x:f>'原始月度'!E222*1000</x:f>
        <x:v>29338450</x:v>
      </x:c>
      <x:c r="E222" s="9" t="str">
        <x:f>IF(ISNUMBER('原始月度'!F222),'原始月度'!F222*1000,"")</x:f>
      </x:c>
      <x:c r="F222" s="9" t="str">
        <x:f>IF(ISNUMBER('原始月度'!G222),'原始月度'!G222,"")</x:f>
      </x:c>
      <x:c r="G222" s="6" t="str">
        <x:v>原报非零值</x:v>
      </x:c>
      <x:c r="H222" s="6" t="str">
        <x:v>未披露</x:v>
      </x:c>
      <x:c r="I222" s="6" t="str">
        <x:v>未取得月度量</x:v>
      </x:c>
    </x:row>
    <x:row r="223" ht="25" customHeight="1">
      <x:c r="A223" s="8" t="d">
        <x:v>2019-06-01T00:00:00.000Z</x:v>
      </x:c>
      <x:c r="B223" s="10" t="n">
        <x:f>'原始月度'!C223*1000</x:f>
        <x:v>22223760</x:v>
      </x:c>
      <x:c r="C223" s="10" t="n">
        <x:f>IF('原始月度'!D223=0,"",'原始月度'!D223*1000)</x:f>
        <x:v>14062760</x:v>
      </x:c>
      <x:c r="D223" s="10" t="n">
        <x:f>'原始月度'!E223*1000</x:f>
        <x:v>17865450</x:v>
      </x:c>
      <x:c r="E223" s="10" t="str">
        <x:f>IF(ISNUMBER('原始月度'!F223),'原始月度'!F223*1000,"")</x:f>
      </x:c>
      <x:c r="F223" s="10" t="str">
        <x:f>IF(ISNUMBER('原始月度'!G223),'原始月度'!G223,"")</x:f>
      </x:c>
      <x:c r="G223" s="2" t="str">
        <x:v>原报非零值</x:v>
      </x:c>
      <x:c r="H223" s="2" t="str">
        <x:v>未披露</x:v>
      </x:c>
      <x:c r="I223" s="2" t="str">
        <x:v>未取得月度量</x:v>
      </x:c>
    </x:row>
    <x:row r="224" ht="25" customHeight="1">
      <x:c r="A224" s="7" t="d">
        <x:v>2019-07-01T00:00:00.000Z</x:v>
      </x:c>
      <x:c r="B224" s="9" t="n">
        <x:f>'原始月度'!C224*1000</x:f>
        <x:v>39680640</x:v>
      </x:c>
      <x:c r="C224" s="9" t="n">
        <x:f>IF('原始月度'!D224=0,"",'原始月度'!D224*1000)</x:f>
        <x:v>14832460</x:v>
      </x:c>
      <x:c r="D224" s="9" t="n">
        <x:f>'原始月度'!E224*1000</x:f>
        <x:v>28716020</x:v>
      </x:c>
      <x:c r="E224" s="9" t="n">
        <x:f>IF(ISNUMBER('原始月度'!F224),'原始月度'!F224*1000,"")</x:f>
        <x:v>4690030</x:v>
      </x:c>
      <x:c r="F224" s="9" t="str">
        <x:f>IF(ISNUMBER('原始月度'!G224),'原始月度'!G224,"")</x:f>
      </x:c>
      <x:c r="G224" s="6" t="str">
        <x:v>原报非零值</x:v>
      </x:c>
      <x:c r="H224" s="6" t="str">
        <x:v>原报值</x:v>
      </x:c>
      <x:c r="I224" s="6" t="str">
        <x:v>未取得月度量</x:v>
      </x:c>
    </x:row>
    <x:row r="225" ht="25" customHeight="1">
      <x:c r="A225" s="8" t="d">
        <x:v>2019-08-01T00:00:00.000Z</x:v>
      </x:c>
      <x:c r="B225" s="10" t="n">
        <x:f>'原始月度'!C225*1000</x:f>
        <x:v>31996680</x:v>
      </x:c>
      <x:c r="C225" s="10" t="n">
        <x:f>IF('原始月度'!D225=0,"",'原始月度'!D225*1000)</x:f>
        <x:v>18493700</x:v>
      </x:c>
      <x:c r="D225" s="10" t="n">
        <x:f>'原始月度'!E225*1000</x:f>
        <x:v>24413540</x:v>
      </x:c>
      <x:c r="E225" s="10" t="str">
        <x:f>IF(ISNUMBER('原始月度'!F225),'原始月度'!F225*1000,"")</x:f>
      </x:c>
      <x:c r="F225" s="10" t="str">
        <x:f>IF(ISNUMBER('原始月度'!G225),'原始月度'!G225,"")</x:f>
      </x:c>
      <x:c r="G225" s="2" t="str">
        <x:v>原报非零值</x:v>
      </x:c>
      <x:c r="H225" s="2" t="str">
        <x:v>未披露</x:v>
      </x:c>
      <x:c r="I225" s="2" t="str">
        <x:v>未取得月度量</x:v>
      </x:c>
    </x:row>
    <x:row r="226" ht="25" customHeight="1">
      <x:c r="A226" s="7" t="d">
        <x:v>2019-09-01T00:00:00.000Z</x:v>
      </x:c>
      <x:c r="B226" s="9" t="n">
        <x:f>'原始月度'!C226*1000</x:f>
        <x:v>33858830</x:v>
      </x:c>
      <x:c r="C226" s="9" t="n">
        <x:f>IF('原始月度'!D226=0,"",'原始月度'!D226*1000)</x:f>
        <x:v>18493700</x:v>
      </x:c>
      <x:c r="D226" s="9" t="n">
        <x:f>'原始月度'!E226*1000</x:f>
        <x:v>26703650</x:v>
      </x:c>
      <x:c r="E226" s="9" t="str">
        <x:f>IF(ISNUMBER('原始月度'!F226),'原始月度'!F226*1000,"")</x:f>
      </x:c>
      <x:c r="F226" s="9" t="str">
        <x:f>IF(ISNUMBER('原始月度'!G226),'原始月度'!G226,"")</x:f>
      </x:c>
      <x:c r="G226" s="6" t="str">
        <x:v>原报非零值</x:v>
      </x:c>
      <x:c r="H226" s="6" t="str">
        <x:v>未披露</x:v>
      </x:c>
      <x:c r="I226" s="6" t="str">
        <x:v>未取得月度量</x:v>
      </x:c>
    </x:row>
    <x:row r="227" ht="25" customHeight="1">
      <x:c r="A227" s="8" t="d">
        <x:v>2019-10-01T00:00:00.000Z</x:v>
      </x:c>
      <x:c r="B227" s="10" t="n">
        <x:f>'原始月度'!C227*1000</x:f>
        <x:v>14883970</x:v>
      </x:c>
      <x:c r="C227" s="10" t="n">
        <x:f>IF('原始月度'!D227=0,"",'原始月度'!D227*1000)</x:f>
        <x:v>7777940</x:v>
      </x:c>
      <x:c r="D227" s="10" t="n">
        <x:f>'原始月度'!E227*1000</x:f>
        <x:v>8787490</x:v>
      </x:c>
      <x:c r="E227" s="10" t="str">
        <x:f>IF(ISNUMBER('原始月度'!F227),'原始月度'!F227*1000,"")</x:f>
      </x:c>
      <x:c r="F227" s="10" t="str">
        <x:f>IF(ISNUMBER('原始月度'!G227),'原始月度'!G227,"")</x:f>
      </x:c>
      <x:c r="G227" s="2" t="str">
        <x:v>原报非零值</x:v>
      </x:c>
      <x:c r="H227" s="2" t="str">
        <x:v>未披露</x:v>
      </x:c>
      <x:c r="I227" s="2" t="str">
        <x:v>未取得月度量</x:v>
      </x:c>
    </x:row>
    <x:row r="228" ht="25" customHeight="1">
      <x:c r="A228" s="7" t="d">
        <x:v>2019-11-01T00:00:00.000Z</x:v>
      </x:c>
      <x:c r="B228" s="9" t="n">
        <x:f>'原始月度'!C228*1000</x:f>
        <x:v>24188160</x:v>
      </x:c>
      <x:c r="C228" s="9" t="n">
        <x:f>IF('原始月度'!D228=0,"",'原始月度'!D228*1000)</x:f>
        <x:v>21454720</x:v>
      </x:c>
      <x:c r="D228" s="9" t="n">
        <x:f>'原始月度'!E228*1000</x:f>
        <x:v>8420990</x:v>
      </x:c>
      <x:c r="E228" s="9" t="str">
        <x:f>IF(ISNUMBER('原始月度'!F228),'原始月度'!F228*1000,"")</x:f>
      </x:c>
      <x:c r="F228" s="9" t="str">
        <x:f>IF(ISNUMBER('原始月度'!G228),'原始月度'!G228,"")</x:f>
      </x:c>
      <x:c r="G228" s="6" t="str">
        <x:v>原报非零值</x:v>
      </x:c>
      <x:c r="H228" s="6" t="str">
        <x:v>未披露</x:v>
      </x:c>
      <x:c r="I228" s="6" t="str">
        <x:v>未取得月度量</x:v>
      </x:c>
    </x:row>
    <x:row r="229" ht="25" customHeight="1">
      <x:c r="A229" s="8" t="d">
        <x:v>2019-12-01T00:00:00.000Z</x:v>
      </x:c>
      <x:c r="B229" s="10" t="n">
        <x:f>'原始月度'!C229*1000</x:f>
        <x:v>12254860</x:v>
      </x:c>
      <x:c r="C229" s="10" t="n">
        <x:f>IF('原始月度'!D229=0,"",'原始月度'!D229*1000)</x:f>
        <x:v>13552970</x:v>
      </x:c>
      <x:c r="D229" s="10" t="n">
        <x:f>'原始月度'!E229*1000</x:f>
        <x:v>9942090</x:v>
      </x:c>
      <x:c r="E229" s="10" t="str">
        <x:f>IF(ISNUMBER('原始月度'!F229),'原始月度'!F229*1000,"")</x:f>
      </x:c>
      <x:c r="F229" s="10" t="str">
        <x:f>IF(ISNUMBER('原始月度'!G229),'原始月度'!G229,"")</x:f>
      </x:c>
      <x:c r="G229" s="2" t="str">
        <x:v>原报非零值</x:v>
      </x:c>
      <x:c r="H229" s="2" t="str">
        <x:v>未披露</x:v>
      </x:c>
      <x:c r="I229" s="2" t="str">
        <x:v>未取得月度量</x:v>
      </x:c>
    </x:row>
    <x:row r="230" ht="25" customHeight="1">
      <x:c r="A230" s="7" t="d">
        <x:v>2020-01-01T00:00:00.000Z</x:v>
      </x:c>
      <x:c r="B230" s="9" t="n">
        <x:f>'原始月度'!C230*1000</x:f>
        <x:v>36741760</x:v>
      </x:c>
      <x:c r="C230" s="9" t="n">
        <x:f>IF('原始月度'!D230=0,"",'原始月度'!D230*1000)</x:f>
        <x:v>34131050</x:v>
      </x:c>
      <x:c r="D230" s="9" t="n">
        <x:f>'原始月度'!E230*1000</x:f>
        <x:v>43267770</x:v>
      </x:c>
      <x:c r="E230" s="9" t="str">
        <x:f>IF(ISNUMBER('原始月度'!F230),'原始月度'!F230*1000,"")</x:f>
      </x:c>
      <x:c r="F230" s="9" t="str">
        <x:f>IF(ISNUMBER('原始月度'!G230),'原始月度'!G230,"")</x:f>
      </x:c>
      <x:c r="G230" s="6" t="str">
        <x:v>原报非零值</x:v>
      </x:c>
      <x:c r="H230" s="6" t="str">
        <x:v>未披露</x:v>
      </x:c>
      <x:c r="I230" s="6" t="str">
        <x:v>未取得月度量</x:v>
      </x:c>
    </x:row>
    <x:row r="231" ht="25" customHeight="1">
      <x:c r="A231" s="8" t="d">
        <x:v>2020-02-01T00:00:00.000Z</x:v>
      </x:c>
      <x:c r="B231" s="10" t="n">
        <x:f>'原始月度'!C231*1000</x:f>
        <x:v>16907710</x:v>
      </x:c>
      <x:c r="C231" s="10" t="n">
        <x:f>IF('原始月度'!D231=0,"",'原始月度'!D231*1000)</x:f>
        <x:v>25250320</x:v>
      </x:c>
      <x:c r="D231" s="10" t="n">
        <x:f>'原始月度'!E231*1000</x:f>
        <x:v>33648640</x:v>
      </x:c>
      <x:c r="E231" s="10" t="str">
        <x:f>IF(ISNUMBER('原始月度'!F231),'原始月度'!F231*1000,"")</x:f>
      </x:c>
      <x:c r="F231" s="10" t="str">
        <x:f>IF(ISNUMBER('原始月度'!G231),'原始月度'!G231,"")</x:f>
      </x:c>
      <x:c r="G231" s="2" t="str">
        <x:v>原报非零值</x:v>
      </x:c>
      <x:c r="H231" s="2" t="str">
        <x:v>未披露</x:v>
      </x:c>
      <x:c r="I231" s="2" t="str">
        <x:v>未取得月度量</x:v>
      </x:c>
    </x:row>
    <x:row r="232" ht="25" customHeight="1">
      <x:c r="A232" s="7" t="d">
        <x:v>2020-03-01T00:00:00.000Z</x:v>
      </x:c>
      <x:c r="B232" s="9" t="n">
        <x:f>'原始月度'!C232*1000</x:f>
        <x:v>28100980</x:v>
      </x:c>
      <x:c r="C232" s="9" t="n">
        <x:f>IF('原始月度'!D232=0,"",'原始月度'!D232*1000)</x:f>
        <x:v>18530720</x:v>
      </x:c>
      <x:c r="D232" s="9" t="n">
        <x:f>'原始月度'!E232*1000</x:f>
        <x:v>26656590</x:v>
      </x:c>
      <x:c r="E232" s="9" t="str">
        <x:f>IF(ISNUMBER('原始月度'!F232),'原始月度'!F232*1000,"")</x:f>
      </x:c>
      <x:c r="F232" s="9" t="str">
        <x:f>IF(ISNUMBER('原始月度'!G232),'原始月度'!G232,"")</x:f>
      </x:c>
      <x:c r="G232" s="6" t="str">
        <x:v>原报非零值</x:v>
      </x:c>
      <x:c r="H232" s="6" t="str">
        <x:v>未披露</x:v>
      </x:c>
      <x:c r="I232" s="6" t="str">
        <x:v>未取得月度量</x:v>
      </x:c>
    </x:row>
    <x:row r="233" ht="25" customHeight="1">
      <x:c r="A233" s="8" t="d">
        <x:v>2020-04-01T00:00:00.000Z</x:v>
      </x:c>
      <x:c r="B233" s="10" t="n">
        <x:f>'原始月度'!C233*1000</x:f>
        <x:v>52645230</x:v>
      </x:c>
      <x:c r="C233" s="10" t="n">
        <x:f>IF('原始月度'!D233=0,"",'原始月度'!D233*1000)</x:f>
        <x:v>21211750</x:v>
      </x:c>
      <x:c r="D233" s="10" t="n">
        <x:f>'原始月度'!E233*1000</x:f>
        <x:v>27023740</x:v>
      </x:c>
      <x:c r="E233" s="10" t="str">
        <x:f>IF(ISNUMBER('原始月度'!F233),'原始月度'!F233*1000,"")</x:f>
      </x:c>
      <x:c r="F233" s="10" t="str">
        <x:f>IF(ISNUMBER('原始月度'!G233),'原始月度'!G233,"")</x:f>
      </x:c>
      <x:c r="G233" s="2" t="str">
        <x:v>原报非零值</x:v>
      </x:c>
      <x:c r="H233" s="2" t="str">
        <x:v>未披露</x:v>
      </x:c>
      <x:c r="I233" s="2" t="str">
        <x:v>未取得月度量</x:v>
      </x:c>
    </x:row>
    <x:row r="234" ht="25" customHeight="1">
      <x:c r="A234" s="7" t="d">
        <x:v>2020-05-01T00:00:00.000Z</x:v>
      </x:c>
      <x:c r="B234" s="9" t="n">
        <x:f>'原始月度'!C234*1000</x:f>
        <x:v>60638410</x:v>
      </x:c>
      <x:c r="C234" s="9" t="n">
        <x:f>IF('原始月度'!D234=0,"",'原始月度'!D234*1000)</x:f>
        <x:v>6350370</x:v>
      </x:c>
      <x:c r="D234" s="9" t="n">
        <x:f>'原始月度'!E234*1000</x:f>
        <x:v>11976710</x:v>
      </x:c>
      <x:c r="E234" s="9" t="str">
        <x:f>IF(ISNUMBER('原始月度'!F234),'原始月度'!F234*1000,"")</x:f>
      </x:c>
      <x:c r="F234" s="9" t="str">
        <x:f>IF(ISNUMBER('原始月度'!G234),'原始月度'!G234,"")</x:f>
      </x:c>
      <x:c r="G234" s="6" t="str">
        <x:v>原报非零值</x:v>
      </x:c>
      <x:c r="H234" s="6" t="str">
        <x:v>未披露</x:v>
      </x:c>
      <x:c r="I234" s="6" t="str">
        <x:v>未取得月度量</x:v>
      </x:c>
    </x:row>
    <x:row r="235" ht="25" customHeight="1">
      <x:c r="A235" s="8" t="d">
        <x:v>2020-06-01T00:00:00.000Z</x:v>
      </x:c>
      <x:c r="B235" s="10" t="n">
        <x:f>'原始月度'!C235*1000</x:f>
        <x:v>29037620</x:v>
      </x:c>
      <x:c r="C235" s="10" t="n">
        <x:f>IF('原始月度'!D235=0,"",'原始月度'!D235*1000)</x:f>
        <x:v>12853910</x:v>
      </x:c>
      <x:c r="D235" s="10" t="n">
        <x:f>'原始月度'!E235*1000</x:f>
        <x:v>21228120</x:v>
      </x:c>
      <x:c r="E235" s="10" t="str">
        <x:f>IF(ISNUMBER('原始月度'!F235),'原始月度'!F235*1000,"")</x:f>
      </x:c>
      <x:c r="F235" s="10" t="str">
        <x:f>IF(ISNUMBER('原始月度'!G235),'原始月度'!G235,"")</x:f>
      </x:c>
      <x:c r="G235" s="2" t="str">
        <x:v>原报非零值</x:v>
      </x:c>
      <x:c r="H235" s="2" t="str">
        <x:v>未披露</x:v>
      </x:c>
      <x:c r="I235" s="2" t="str">
        <x:v>未取得月度量</x:v>
      </x:c>
    </x:row>
    <x:row r="236" ht="25" customHeight="1">
      <x:c r="A236" s="7" t="d">
        <x:v>2020-07-01T00:00:00.000Z</x:v>
      </x:c>
      <x:c r="B236" s="9" t="n">
        <x:f>'原始月度'!C236*1000</x:f>
        <x:v>54703930</x:v>
      </x:c>
      <x:c r="C236" s="9" t="n">
        <x:f>IF('原始月度'!D236=0,"",'原始月度'!D236*1000)</x:f>
        <x:v>18346690</x:v>
      </x:c>
      <x:c r="D236" s="9" t="n">
        <x:f>'原始月度'!E236*1000</x:f>
        <x:v>25149090</x:v>
      </x:c>
      <x:c r="E236" s="9" t="str">
        <x:f>IF(ISNUMBER('原始月度'!F236),'原始月度'!F236*1000,"")</x:f>
      </x:c>
      <x:c r="F236" s="9" t="str">
        <x:f>IF(ISNUMBER('原始月度'!G236),'原始月度'!G236,"")</x:f>
      </x:c>
      <x:c r="G236" s="6" t="str">
        <x:v>原报非零值</x:v>
      </x:c>
      <x:c r="H236" s="6" t="str">
        <x:v>未披露</x:v>
      </x:c>
      <x:c r="I236" s="6" t="str">
        <x:v>未取得月度量</x:v>
      </x:c>
    </x:row>
    <x:row r="237" ht="25" customHeight="1">
      <x:c r="A237" s="8" t="d">
        <x:v>2020-08-01T00:00:00.000Z</x:v>
      </x:c>
      <x:c r="B237" s="10" t="n">
        <x:f>'原始月度'!C237*1000</x:f>
        <x:v>38958300</x:v>
      </x:c>
      <x:c r="C237" s="10" t="n">
        <x:f>IF('原始月度'!D237=0,"",'原始月度'!D237*1000)</x:f>
        <x:v>9684850</x:v>
      </x:c>
      <x:c r="D237" s="10" t="n">
        <x:f>'原始月度'!E237*1000</x:f>
        <x:v>15762610</x:v>
      </x:c>
      <x:c r="E237" s="10" t="str">
        <x:f>IF(ISNUMBER('原始月度'!F237),'原始月度'!F237*1000,"")</x:f>
      </x:c>
      <x:c r="F237" s="10" t="str">
        <x:f>IF(ISNUMBER('原始月度'!G237),'原始月度'!G237,"")</x:f>
      </x:c>
      <x:c r="G237" s="2" t="str">
        <x:v>原报非零值</x:v>
      </x:c>
      <x:c r="H237" s="2" t="str">
        <x:v>未披露</x:v>
      </x:c>
      <x:c r="I237" s="2" t="str">
        <x:v>未取得月度量</x:v>
      </x:c>
    </x:row>
    <x:row r="238" ht="25" customHeight="1">
      <x:c r="A238" s="7" t="d">
        <x:v>2020-09-01T00:00:00.000Z</x:v>
      </x:c>
      <x:c r="B238" s="9" t="n">
        <x:f>'原始月度'!C238*1000</x:f>
        <x:v>31227770</x:v>
      </x:c>
      <x:c r="C238" s="9" t="n">
        <x:f>IF('原始月度'!D238=0,"",'原始月度'!D238*1000)</x:f>
        <x:v>15608950</x:v>
      </x:c>
      <x:c r="D238" s="9" t="n">
        <x:f>'原始月度'!E238*1000</x:f>
        <x:v>22898480</x:v>
      </x:c>
      <x:c r="E238" s="9" t="str">
        <x:f>IF(ISNUMBER('原始月度'!F238),'原始月度'!F238*1000,"")</x:f>
      </x:c>
      <x:c r="F238" s="9" t="str">
        <x:f>IF(ISNUMBER('原始月度'!G238),'原始月度'!G238,"")</x:f>
      </x:c>
      <x:c r="G238" s="6" t="str">
        <x:v>原报非零值</x:v>
      </x:c>
      <x:c r="H238" s="6" t="str">
        <x:v>未披露</x:v>
      </x:c>
      <x:c r="I238" s="6" t="str">
        <x:v>未取得月度量</x:v>
      </x:c>
    </x:row>
    <x:row r="239" ht="25" customHeight="1">
      <x:c r="A239" s="8" t="d">
        <x:v>2020-10-01T00:00:00.000Z</x:v>
      </x:c>
      <x:c r="B239" s="10" t="n">
        <x:f>'原始月度'!C239*1000</x:f>
        <x:v>57572340</x:v>
      </x:c>
      <x:c r="C239" s="10" t="n">
        <x:f>IF('原始月度'!D239=0,"",'原始月度'!D239*1000)</x:f>
        <x:v>11624470</x:v>
      </x:c>
      <x:c r="D239" s="10" t="n">
        <x:f>'原始月度'!E239*1000</x:f>
        <x:v>17960990</x:v>
      </x:c>
      <x:c r="E239" s="10" t="str">
        <x:f>IF(ISNUMBER('原始月度'!F239),'原始月度'!F239*1000,"")</x:f>
      </x:c>
      <x:c r="F239" s="10" t="str">
        <x:f>IF(ISNUMBER('原始月度'!G239),'原始月度'!G239,"")</x:f>
      </x:c>
      <x:c r="G239" s="2" t="str">
        <x:v>原报非零值</x:v>
      </x:c>
      <x:c r="H239" s="2" t="str">
        <x:v>未披露</x:v>
      </x:c>
      <x:c r="I239" s="2" t="str">
        <x:v>未取得月度量</x:v>
      </x:c>
    </x:row>
    <x:row r="240" ht="25" customHeight="1">
      <x:c r="A240" s="7" t="d">
        <x:v>2020-11-01T00:00:00.000Z</x:v>
      </x:c>
      <x:c r="B240" s="9" t="n">
        <x:f>'原始月度'!C240*1000</x:f>
        <x:v>24350540</x:v>
      </x:c>
      <x:c r="C240" s="9" t="n">
        <x:f>IF('原始月度'!D240=0,"",'原始月度'!D240*1000)</x:f>
        <x:v>17404460</x:v>
      </x:c>
      <x:c r="D240" s="9" t="n">
        <x:f>'原始月度'!E240*1000</x:f>
        <x:v>24129820</x:v>
      </x:c>
      <x:c r="E240" s="9" t="str">
        <x:f>IF(ISNUMBER('原始月度'!F240),'原始月度'!F240*1000,"")</x:f>
      </x:c>
      <x:c r="F240" s="9" t="str">
        <x:f>IF(ISNUMBER('原始月度'!G240),'原始月度'!G240,"")</x:f>
      </x:c>
      <x:c r="G240" s="6" t="str">
        <x:v>原报非零值</x:v>
      </x:c>
      <x:c r="H240" s="6" t="str">
        <x:v>未披露</x:v>
      </x:c>
      <x:c r="I240" s="6" t="str">
        <x:v>未取得月度量</x:v>
      </x:c>
    </x:row>
    <x:row r="241" ht="25" customHeight="1">
      <x:c r="A241" s="8" t="d">
        <x:v>2020-12-01T00:00:00.000Z</x:v>
      </x:c>
      <x:c r="B241" s="10" t="n">
        <x:f>'原始月度'!C241*1000</x:f>
        <x:v>21145820</x:v>
      </x:c>
      <x:c r="C241" s="10" t="n">
        <x:f>IF('原始月度'!D241=0,"",'原始月度'!D241*1000)</x:f>
        <x:v>13481730</x:v>
      </x:c>
      <x:c r="D241" s="10" t="n">
        <x:f>'原始月度'!E241*1000</x:f>
        <x:v>22160280</x:v>
      </x:c>
      <x:c r="E241" s="10" t="str">
        <x:f>IF(ISNUMBER('原始月度'!F241),'原始月度'!F241*1000,"")</x:f>
      </x:c>
      <x:c r="F241" s="10" t="str">
        <x:f>IF(ISNUMBER('原始月度'!G241),'原始月度'!G241,"")</x:f>
      </x:c>
      <x:c r="G241" s="2" t="str">
        <x:v>原报非零值</x:v>
      </x:c>
      <x:c r="H241" s="2" t="str">
        <x:v>未披露</x:v>
      </x:c>
      <x:c r="I241" s="2" t="str">
        <x:v>未取得月度量</x:v>
      </x:c>
    </x:row>
    <x:row r="242" ht="25" customHeight="1">
      <x:c r="A242" s="7" t="d">
        <x:v>2021-01-01T00:00:00.000Z</x:v>
      </x:c>
      <x:c r="B242" s="9" t="n">
        <x:f>'原始月度'!C242*1000</x:f>
        <x:v>13444950</x:v>
      </x:c>
      <x:c r="C242" s="9" t="n">
        <x:f>IF('原始月度'!D242=0,"",'原始月度'!D242*1000)</x:f>
        <x:v>18322800</x:v>
      </x:c>
      <x:c r="D242" s="9" t="n">
        <x:f>'原始月度'!E242*1000</x:f>
        <x:v>27029010</x:v>
      </x:c>
      <x:c r="E242" s="9" t="n">
        <x:f>IF(ISNUMBER('原始月度'!F242),'原始月度'!F242*1000,"")</x:f>
        <x:v>4457960</x:v>
      </x:c>
      <x:c r="F242" s="9" t="str">
        <x:f>IF(ISNUMBER('原始月度'!G242),'原始月度'!G242,"")</x:f>
      </x:c>
      <x:c r="G242" s="6" t="str">
        <x:v>原报非零值</x:v>
      </x:c>
      <x:c r="H242" s="6" t="str">
        <x:v>原报值</x:v>
      </x:c>
      <x:c r="I242" s="6" t="str">
        <x:v>未取得月度量</x:v>
      </x:c>
    </x:row>
    <x:row r="243" ht="25" customHeight="1">
      <x:c r="A243" s="8" t="d">
        <x:v>2021-02-01T00:00:00.000Z</x:v>
      </x:c>
      <x:c r="B243" s="10" t="n">
        <x:f>'原始月度'!C243*1000</x:f>
        <x:v>16564360</x:v>
      </x:c>
      <x:c r="C243" s="10" t="n">
        <x:f>IF('原始月度'!D243=0,"",'原始月度'!D243*1000)</x:f>
        <x:v>13988400</x:v>
      </x:c>
      <x:c r="D243" s="10" t="n">
        <x:f>'原始月度'!E243*1000</x:f>
        <x:v>22668050</x:v>
      </x:c>
      <x:c r="E243" s="10" t="n">
        <x:f>IF(ISNUMBER('原始月度'!F243),'原始月度'!F243*1000,"")</x:f>
        <x:v>3464760</x:v>
      </x:c>
      <x:c r="F243" s="10" t="str">
        <x:f>IF(ISNUMBER('原始月度'!G243),'原始月度'!G243,"")</x:f>
      </x:c>
      <x:c r="G243" s="2" t="str">
        <x:v>原报非零值</x:v>
      </x:c>
      <x:c r="H243" s="2" t="str">
        <x:v>原报值</x:v>
      </x:c>
      <x:c r="I243" s="2" t="str">
        <x:v>未取得月度量</x:v>
      </x:c>
    </x:row>
    <x:row r="244" ht="25" customHeight="1">
      <x:c r="A244" s="7" t="d">
        <x:v>2021-03-01T00:00:00.000Z</x:v>
      </x:c>
      <x:c r="B244" s="9" t="n">
        <x:f>'原始月度'!C244*1000</x:f>
        <x:v>21082880</x:v>
      </x:c>
      <x:c r="C244" s="9" t="n">
        <x:f>IF('原始月度'!D244=0,"",'原始月度'!D244*1000)</x:f>
        <x:v>26978470</x:v>
      </x:c>
      <x:c r="D244" s="9" t="n">
        <x:f>'原始月度'!E244*1000</x:f>
        <x:v>38632780</x:v>
      </x:c>
      <x:c r="E244" s="9" t="n">
        <x:f>IF(ISNUMBER('原始月度'!F244),'原始月度'!F244*1000,"")</x:f>
        <x:v>6043170</x:v>
      </x:c>
      <x:c r="F244" s="9" t="str">
        <x:f>IF(ISNUMBER('原始月度'!G244),'原始月度'!G244,"")</x:f>
      </x:c>
      <x:c r="G244" s="6" t="str">
        <x:v>原报非零值</x:v>
      </x:c>
      <x:c r="H244" s="6" t="str">
        <x:v>原报值</x:v>
      </x:c>
      <x:c r="I244" s="6" t="str">
        <x:v>未取得月度量</x:v>
      </x:c>
    </x:row>
    <x:row r="245" ht="25" customHeight="1">
      <x:c r="A245" s="8" t="d">
        <x:v>2021-04-01T00:00:00.000Z</x:v>
      </x:c>
      <x:c r="B245" s="10" t="n">
        <x:f>'原始月度'!C245*1000</x:f>
        <x:v>87253500</x:v>
      </x:c>
      <x:c r="C245" s="10" t="n">
        <x:f>IF('原始月度'!D245=0,"",'原始月度'!D245*1000)</x:f>
        <x:v>30907990</x:v>
      </x:c>
      <x:c r="D245" s="10" t="n">
        <x:f>'原始月度'!E245*1000</x:f>
        <x:v>42270800</x:v>
      </x:c>
      <x:c r="E245" s="10" t="n">
        <x:f>IF(ISNUMBER('原始月度'!F245),'原始月度'!F245*1000,"")</x:f>
        <x:v>11136370</x:v>
      </x:c>
      <x:c r="F245" s="10" t="str">
        <x:f>IF(ISNUMBER('原始月度'!G245),'原始月度'!G245,"")</x:f>
      </x:c>
      <x:c r="G245" s="2" t="str">
        <x:v>原报非零值</x:v>
      </x:c>
      <x:c r="H245" s="2" t="str">
        <x:v>原报值</x:v>
      </x:c>
      <x:c r="I245" s="2" t="str">
        <x:v>未取得月度量</x:v>
      </x:c>
    </x:row>
    <x:row r="246" ht="25" customHeight="1">
      <x:c r="A246" s="7" t="d">
        <x:v>2021-05-01T00:00:00.000Z</x:v>
      </x:c>
      <x:c r="B246" s="9" t="n">
        <x:f>'原始月度'!C246*1000</x:f>
        <x:v>15851180</x:v>
      </x:c>
      <x:c r="C246" s="9" t="n">
        <x:f>IF('原始月度'!D246=0,"",'原始月度'!D246*1000)</x:f>
        <x:v>24480260</x:v>
      </x:c>
      <x:c r="D246" s="9" t="n">
        <x:f>'原始月度'!E246*1000</x:f>
        <x:v>36029330</x:v>
      </x:c>
      <x:c r="E246" s="9" t="n">
        <x:f>IF(ISNUMBER('原始月度'!F246),'原始月度'!F246*1000,"")</x:f>
        <x:v>18051120</x:v>
      </x:c>
      <x:c r="F246" s="9" t="str">
        <x:f>IF(ISNUMBER('原始月度'!G246),'原始月度'!G246,"")</x:f>
      </x:c>
      <x:c r="G246" s="6" t="str">
        <x:v>原报非零值</x:v>
      </x:c>
      <x:c r="H246" s="6" t="str">
        <x:v>原报值</x:v>
      </x:c>
      <x:c r="I246" s="6" t="str">
        <x:v>未取得月度量</x:v>
      </x:c>
    </x:row>
    <x:row r="247" ht="25" customHeight="1">
      <x:c r="A247" s="8" t="d">
        <x:v>2021-06-01T00:00:00.000Z</x:v>
      </x:c>
      <x:c r="B247" s="10" t="n">
        <x:f>'原始月度'!C247*1000</x:f>
        <x:v>40083000</x:v>
      </x:c>
      <x:c r="C247" s="10" t="n">
        <x:f>IF('原始月度'!D247=0,"",'原始月度'!D247*1000)</x:f>
        <x:v>27540270</x:v>
      </x:c>
      <x:c r="D247" s="10" t="n">
        <x:f>'原始月度'!E247*1000</x:f>
        <x:v>38859710</x:v>
      </x:c>
      <x:c r="E247" s="10" t="n">
        <x:f>IF(ISNUMBER('原始月度'!F247),'原始月度'!F247*1000,"")</x:f>
        <x:v>24886590</x:v>
      </x:c>
      <x:c r="F247" s="10" t="str">
        <x:f>IF(ISNUMBER('原始月度'!G247),'原始月度'!G247,"")</x:f>
      </x:c>
      <x:c r="G247" s="2" t="str">
        <x:v>原报非零值</x:v>
      </x:c>
      <x:c r="H247" s="2" t="str">
        <x:v>原报值</x:v>
      </x:c>
      <x:c r="I247" s="2" t="str">
        <x:v>未取得月度量</x:v>
      </x:c>
    </x:row>
    <x:row r="248" ht="25" customHeight="1">
      <x:c r="A248" s="7" t="d">
        <x:v>2021-07-01T00:00:00.000Z</x:v>
      </x:c>
      <x:c r="B248" s="9" t="n">
        <x:f>'原始月度'!C248*1000</x:f>
        <x:v>52601000</x:v>
      </x:c>
      <x:c r="C248" s="9" t="n">
        <x:f>IF('原始月度'!D248=0,"",'原始月度'!D248*1000)</x:f>
        <x:v>25535580</x:v>
      </x:c>
      <x:c r="D248" s="9" t="n">
        <x:f>'原始月度'!E248*1000</x:f>
        <x:v>42408400</x:v>
      </x:c>
      <x:c r="E248" s="9" t="n">
        <x:f>IF(ISNUMBER('原始月度'!F248),'原始月度'!F248*1000,"")</x:f>
        <x:v>16243780</x:v>
      </x:c>
      <x:c r="F248" s="9" t="str">
        <x:f>IF(ISNUMBER('原始月度'!G248),'原始月度'!G248,"")</x:f>
      </x:c>
      <x:c r="G248" s="6" t="str">
        <x:v>原报非零值</x:v>
      </x:c>
      <x:c r="H248" s="6" t="str">
        <x:v>原报值</x:v>
      </x:c>
      <x:c r="I248" s="6" t="str">
        <x:v>未取得月度量</x:v>
      </x:c>
    </x:row>
    <x:row r="249" ht="25" customHeight="1">
      <x:c r="A249" s="8" t="d">
        <x:v>2021-08-01T00:00:00.000Z</x:v>
      </x:c>
      <x:c r="B249" s="10" t="n">
        <x:f>'原始月度'!C249*1000</x:f>
        <x:v>12255740</x:v>
      </x:c>
      <x:c r="C249" s="10" t="n">
        <x:f>IF('原始月度'!D249=0,"",'原始月度'!D249*1000)</x:f>
        <x:v>10254630</x:v>
      </x:c>
      <x:c r="D249" s="10" t="n">
        <x:f>'原始月度'!E249*1000</x:f>
        <x:v>19642770</x:v>
      </x:c>
      <x:c r="E249" s="10" t="n">
        <x:f>IF(ISNUMBER('原始月度'!F249),'原始月度'!F249*1000,"")</x:f>
        <x:v>20613700</x:v>
      </x:c>
      <x:c r="F249" s="10" t="str">
        <x:f>IF(ISNUMBER('原始月度'!G249),'原始月度'!G249,"")</x:f>
      </x:c>
      <x:c r="G249" s="2" t="str">
        <x:v>原报非零值</x:v>
      </x:c>
      <x:c r="H249" s="2" t="str">
        <x:v>原报值</x:v>
      </x:c>
      <x:c r="I249" s="2" t="str">
        <x:v>未取得月度量</x:v>
      </x:c>
    </x:row>
    <x:row r="250" ht="25" customHeight="1">
      <x:c r="A250" s="7" t="d">
        <x:v>2021-09-01T00:00:00.000Z</x:v>
      </x:c>
      <x:c r="B250" s="9" t="n">
        <x:f>'原始月度'!C250*1000</x:f>
        <x:v>49726790</x:v>
      </x:c>
      <x:c r="C250" s="9" t="n">
        <x:f>IF('原始月度'!D250=0,"",'原始月度'!D250*1000)</x:f>
        <x:v>30742540</x:v>
      </x:c>
      <x:c r="D250" s="9" t="n">
        <x:f>'原始月度'!E250*1000</x:f>
        <x:v>10124690</x:v>
      </x:c>
      <x:c r="E250" s="9" t="n">
        <x:f>IF(ISNUMBER('原始月度'!F250),'原始月度'!F250*1000,"")</x:f>
        <x:v>22022600</x:v>
      </x:c>
      <x:c r="F250" s="9" t="str">
        <x:f>IF(ISNUMBER('原始月度'!G250),'原始月度'!G250,"")</x:f>
      </x:c>
      <x:c r="G250" s="6" t="str">
        <x:v>原报非零值</x:v>
      </x:c>
      <x:c r="H250" s="6" t="str">
        <x:v>原报值</x:v>
      </x:c>
      <x:c r="I250" s="6" t="str">
        <x:v>未取得月度量</x:v>
      </x:c>
    </x:row>
    <x:row r="251" ht="25" customHeight="1">
      <x:c r="A251" s="8" t="d">
        <x:v>2021-10-01T00:00:00.000Z</x:v>
      </x:c>
      <x:c r="B251" s="10" t="n">
        <x:f>'原始月度'!C251*1000</x:f>
        <x:v>57572340</x:v>
      </x:c>
      <x:c r="C251" s="10" t="n">
        <x:f>IF('原始月度'!D251=0,"",'原始月度'!D251*1000)</x:f>
        <x:v>25355710</x:v>
      </x:c>
      <x:c r="D251" s="10" t="n">
        <x:f>'原始月度'!E251*1000</x:f>
        <x:v>17960990</x:v>
      </x:c>
      <x:c r="E251" s="10" t="n">
        <x:f>IF(ISNUMBER('原始月度'!F251),'原始月度'!F251*1000,"")</x:f>
        <x:v>1643260</x:v>
      </x:c>
      <x:c r="F251" s="10" t="str">
        <x:f>IF(ISNUMBER('原始月度'!G251),'原始月度'!G251,"")</x:f>
      </x:c>
      <x:c r="G251" s="2" t="str">
        <x:v>原报非零值</x:v>
      </x:c>
      <x:c r="H251" s="2" t="str">
        <x:v>原报值</x:v>
      </x:c>
      <x:c r="I251" s="2" t="str">
        <x:v>未取得月度量</x:v>
      </x:c>
    </x:row>
    <x:row r="252" ht="25" customHeight="1">
      <x:c r="A252" s="7" t="d">
        <x:v>2021-11-01T00:00:00.000Z</x:v>
      </x:c>
      <x:c r="B252" s="9" t="n">
        <x:f>'原始月度'!C252*1000</x:f>
        <x:v>25521750</x:v>
      </x:c>
      <x:c r="C252" s="9" t="n">
        <x:f>IF('原始月度'!D252=0,"",'原始月度'!D252*1000)</x:f>
        <x:v>21856460</x:v>
      </x:c>
      <x:c r="D252" s="9" t="n">
        <x:f>'原始月度'!E252*1000</x:f>
        <x:v>26431970</x:v>
      </x:c>
      <x:c r="E252" s="9" t="n">
        <x:f>IF(ISNUMBER('原始月度'!F252),'原始月度'!F252*1000,"")</x:f>
        <x:v>8565940</x:v>
      </x:c>
      <x:c r="F252" s="9" t="str">
        <x:f>IF(ISNUMBER('原始月度'!G252),'原始月度'!G252,"")</x:f>
      </x:c>
      <x:c r="G252" s="6" t="str">
        <x:v>原报非零值</x:v>
      </x:c>
      <x:c r="H252" s="6" t="str">
        <x:v>原报值</x:v>
      </x:c>
      <x:c r="I252" s="6" t="str">
        <x:v>未取得月度量</x:v>
      </x:c>
    </x:row>
    <x:row r="253" ht="25" customHeight="1">
      <x:c r="A253" s="8" t="d">
        <x:v>2021-12-01T00:00:00.000Z</x:v>
      </x:c>
      <x:c r="B253" s="10" t="n">
        <x:f>'原始月度'!C253*1000</x:f>
        <x:v>77473320</x:v>
      </x:c>
      <x:c r="C253" s="10" t="n">
        <x:f>IF('原始月度'!D253=0,"",'原始月度'!D253*1000)</x:f>
        <x:v>27805250</x:v>
      </x:c>
      <x:c r="D253" s="10" t="n">
        <x:f>'原始月度'!E253*1000</x:f>
        <x:v>23421150</x:v>
      </x:c>
      <x:c r="E253" s="10" t="n">
        <x:f>IF(ISNUMBER('原始月度'!F253),'原始月度'!F253*1000,"")</x:f>
        <x:v>7700860</x:v>
      </x:c>
      <x:c r="F253" s="10" t="str">
        <x:f>IF(ISNUMBER('原始月度'!G253),'原始月度'!G253,"")</x:f>
      </x:c>
      <x:c r="G253" s="2" t="str">
        <x:v>原报非零值</x:v>
      </x:c>
      <x:c r="H253" s="2" t="str">
        <x:v>原报值</x:v>
      </x:c>
      <x:c r="I253" s="2" t="str">
        <x:v>未取得月度量</x:v>
      </x:c>
    </x:row>
    <x:row r="254" ht="25" customHeight="1">
      <x:c r="A254" s="7" t="d">
        <x:v>2022-01-01T00:00:00.000Z</x:v>
      </x:c>
      <x:c r="B254" s="9" t="n">
        <x:f>'原始月度'!C254*1000</x:f>
        <x:v>14005730</x:v>
      </x:c>
      <x:c r="C254" s="9" t="n">
        <x:f>IF('原始月度'!D254=0,"",'原始月度'!D254*1000)</x:f>
        <x:v>33560210</x:v>
      </x:c>
      <x:c r="D254" s="9" t="n">
        <x:f>'原始月度'!E254*1000</x:f>
        <x:v>46670450</x:v>
      </x:c>
      <x:c r="E254" s="9" t="n">
        <x:f>IF(ISNUMBER('原始月度'!F254),'原始月度'!F254*1000,"")</x:f>
        <x:v>33087680</x:v>
      </x:c>
      <x:c r="F254" s="9" t="str">
        <x:f>IF(ISNUMBER('原始月度'!G254),'原始月度'!G254,"")</x:f>
      </x:c>
      <x:c r="G254" s="6" t="str">
        <x:v>原报非零值</x:v>
      </x:c>
      <x:c r="H254" s="6" t="str">
        <x:v>原报值</x:v>
      </x:c>
      <x:c r="I254" s="6" t="str">
        <x:v>未取得月度量</x:v>
      </x:c>
    </x:row>
    <x:row r="255" ht="25" customHeight="1">
      <x:c r="A255" s="8" t="d">
        <x:v>2022-02-01T00:00:00.000Z</x:v>
      </x:c>
      <x:c r="B255" s="10" t="n">
        <x:f>'原始月度'!C255*1000</x:f>
        <x:v>31911040</x:v>
      </x:c>
      <x:c r="C255" s="10" t="n">
        <x:f>IF('原始月度'!D255=0,"",'原始月度'!D255*1000)</x:f>
        <x:v>35544660</x:v>
      </x:c>
      <x:c r="D255" s="10" t="n">
        <x:f>'原始月度'!E255*1000</x:f>
        <x:v>44230310</x:v>
      </x:c>
      <x:c r="E255" s="10" t="n">
        <x:f>IF(ISNUMBER('原始月度'!F255),'原始月度'!F255*1000,"")</x:f>
        <x:v>38760050</x:v>
      </x:c>
      <x:c r="F255" s="10" t="str">
        <x:f>IF(ISNUMBER('原始月度'!G255),'原始月度'!G255,"")</x:f>
      </x:c>
      <x:c r="G255" s="2" t="str">
        <x:v>原报非零值</x:v>
      </x:c>
      <x:c r="H255" s="2" t="str">
        <x:v>原报值</x:v>
      </x:c>
      <x:c r="I255" s="2" t="str">
        <x:v>未取得月度量</x:v>
      </x:c>
    </x:row>
    <x:row r="256" ht="25" customHeight="1">
      <x:c r="A256" s="7" t="d">
        <x:v>2022-03-01T00:00:00.000Z</x:v>
      </x:c>
      <x:c r="B256" s="9" t="n">
        <x:f>'原始月度'!C256*1000</x:f>
        <x:v>34603600</x:v>
      </x:c>
      <x:c r="C256" s="9" t="n">
        <x:f>IF('原始月度'!D256=0,"",'原始月度'!D256*1000)</x:f>
        <x:v>28166180</x:v>
      </x:c>
      <x:c r="D256" s="9" t="n">
        <x:f>'原始月度'!E256*1000</x:f>
        <x:v>42740480</x:v>
      </x:c>
      <x:c r="E256" s="9" t="n">
        <x:f>IF(ISNUMBER('原始月度'!F256),'原始月度'!F256*1000,"")</x:f>
        <x:v>41347100</x:v>
      </x:c>
      <x:c r="F256" s="9" t="str">
        <x:f>IF(ISNUMBER('原始月度'!G256),'原始月度'!G256,"")</x:f>
      </x:c>
      <x:c r="G256" s="6" t="str">
        <x:v>原报非零值</x:v>
      </x:c>
      <x:c r="H256" s="6" t="str">
        <x:v>原报值</x:v>
      </x:c>
      <x:c r="I256" s="6" t="str">
        <x:v>未取得月度量</x:v>
      </x:c>
    </x:row>
    <x:row r="257" ht="25" customHeight="1">
      <x:c r="A257" s="8" t="d">
        <x:v>2022-04-01T00:00:00.000Z</x:v>
      </x:c>
      <x:c r="B257" s="10" t="n">
        <x:f>'原始月度'!C257*1000</x:f>
        <x:v>19492740</x:v>
      </x:c>
      <x:c r="C257" s="10" t="n">
        <x:f>IF('原始月度'!D257=0,"",'原始月度'!D257*1000)</x:f>
        <x:v>54684670</x:v>
      </x:c>
      <x:c r="D257" s="10" t="n">
        <x:f>'原始月度'!E257*1000</x:f>
        <x:v>67488220</x:v>
      </x:c>
      <x:c r="E257" s="10" t="n">
        <x:f>IF(ISNUMBER('原始月度'!F257),'原始月度'!F257*1000,"")</x:f>
        <x:v>50022220</x:v>
      </x:c>
      <x:c r="F257" s="10" t="str">
        <x:f>IF(ISNUMBER('原始月度'!G257),'原始月度'!G257,"")</x:f>
      </x:c>
      <x:c r="G257" s="2" t="str">
        <x:v>原报非零值</x:v>
      </x:c>
      <x:c r="H257" s="2" t="str">
        <x:v>原报值</x:v>
      </x:c>
      <x:c r="I257" s="2" t="str">
        <x:v>未取得月度量</x:v>
      </x:c>
    </x:row>
    <x:row r="258" ht="25" customHeight="1">
      <x:c r="A258" s="7" t="d">
        <x:v>2022-05-01T00:00:00.000Z</x:v>
      </x:c>
      <x:c r="B258" s="9" t="n">
        <x:f>'原始月度'!C258*1000</x:f>
        <x:v>47862580</x:v>
      </x:c>
      <x:c r="C258" s="9" t="n">
        <x:f>IF('原始月度'!D258=0,"",'原始月度'!D258*1000)</x:f>
        <x:v>72087820</x:v>
      </x:c>
      <x:c r="D258" s="9" t="n">
        <x:f>'原始月度'!E258*1000</x:f>
        <x:v>86995080</x:v>
      </x:c>
      <x:c r="E258" s="9" t="n">
        <x:f>IF(ISNUMBER('原始月度'!F258),'原始月度'!F258*1000,"")</x:f>
        <x:v>56903200</x:v>
      </x:c>
      <x:c r="F258" s="9" t="str">
        <x:f>IF(ISNUMBER('原始月度'!G258),'原始月度'!G258,"")</x:f>
      </x:c>
      <x:c r="G258" s="6" t="str">
        <x:v>原报非零值</x:v>
      </x:c>
      <x:c r="H258" s="6" t="str">
        <x:v>原报值</x:v>
      </x:c>
      <x:c r="I258" s="6" t="str">
        <x:v>未取得月度量</x:v>
      </x:c>
    </x:row>
    <x:row r="259" ht="25" customHeight="1">
      <x:c r="A259" s="8" t="d">
        <x:v>2022-06-01T00:00:00.000Z</x:v>
      </x:c>
      <x:c r="B259" s="10" t="n">
        <x:f>'原始月度'!C259*1000</x:f>
        <x:v>58172720</x:v>
      </x:c>
      <x:c r="C259" s="10" t="n">
        <x:f>IF('原始月度'!D259=0,"",'原始月度'!D259*1000)</x:f>
        <x:v>15489620</x:v>
      </x:c>
      <x:c r="D259" s="10" t="n">
        <x:f>'原始月度'!E259*1000</x:f>
        <x:v>43075480</x:v>
      </x:c>
      <x:c r="E259" s="10" t="n">
        <x:f>IF(ISNUMBER('原始月度'!F259),'原始月度'!F259*1000,"")</x:f>
        <x:v>32629470</x:v>
      </x:c>
      <x:c r="F259" s="10" t="str">
        <x:f>IF(ISNUMBER('原始月度'!G259),'原始月度'!G259,"")</x:f>
      </x:c>
      <x:c r="G259" s="2" t="str">
        <x:v>原报非零值</x:v>
      </x:c>
      <x:c r="H259" s="2" t="str">
        <x:v>原报值</x:v>
      </x:c>
      <x:c r="I259" s="2" t="str">
        <x:v>未取得月度量</x:v>
      </x:c>
    </x:row>
    <x:row r="260" ht="25" customHeight="1">
      <x:c r="A260" s="7" t="d">
        <x:v>2022-07-01T00:00:00.000Z</x:v>
      </x:c>
      <x:c r="B260" s="9" t="n">
        <x:f>'原始月度'!C260*1000</x:f>
        <x:v>45504040</x:v>
      </x:c>
      <x:c r="C260" s="9" t="n">
        <x:f>IF('原始月度'!D260=0,"",'原始月度'!D260*1000)</x:f>
        <x:v>48941690</x:v>
      </x:c>
      <x:c r="D260" s="9" t="n">
        <x:f>'原始月度'!E260*1000</x:f>
        <x:v>59367380</x:v>
      </x:c>
      <x:c r="E260" s="9" t="n">
        <x:f>IF(ISNUMBER('原始月度'!F260),'原始月度'!F260*1000,"")</x:f>
        <x:v>14735180</x:v>
      </x:c>
      <x:c r="F260" s="9" t="str">
        <x:f>IF(ISNUMBER('原始月度'!G260),'原始月度'!G260,"")</x:f>
      </x:c>
      <x:c r="G260" s="6" t="str">
        <x:v>原报非零值</x:v>
      </x:c>
      <x:c r="H260" s="6" t="str">
        <x:v>原报值</x:v>
      </x:c>
      <x:c r="I260" s="6" t="str">
        <x:v>未取得月度量</x:v>
      </x:c>
    </x:row>
    <x:row r="261" ht="25" customHeight="1">
      <x:c r="A261" s="8" t="d">
        <x:v>2022-08-01T00:00:00.000Z</x:v>
      </x:c>
      <x:c r="B261" s="10" t="n">
        <x:f>'原始月度'!C261*1000</x:f>
        <x:v>28419050</x:v>
      </x:c>
      <x:c r="C261" s="10" t="n">
        <x:f>IF('原始月度'!D261=0,"",'原始月度'!D261*1000)</x:f>
        <x:v>35136410</x:v>
      </x:c>
      <x:c r="D261" s="10" t="n">
        <x:f>'原始月度'!E261*1000</x:f>
        <x:v>47549970</x:v>
      </x:c>
      <x:c r="E261" s="10" t="n">
        <x:f>IF(ISNUMBER('原始月度'!F261),'原始月度'!F261*1000,"")</x:f>
        <x:v>15800080</x:v>
      </x:c>
      <x:c r="F261" s="10" t="str">
        <x:f>IF(ISNUMBER('原始月度'!G261),'原始月度'!G261,"")</x:f>
      </x:c>
      <x:c r="G261" s="2" t="str">
        <x:v>原报非零值</x:v>
      </x:c>
      <x:c r="H261" s="2" t="str">
        <x:v>原报值</x:v>
      </x:c>
      <x:c r="I261" s="2" t="str">
        <x:v>未取得月度量</x:v>
      </x:c>
    </x:row>
    <x:row r="262" ht="25" customHeight="1">
      <x:c r="A262" s="7" t="d">
        <x:v>2022-09-01T00:00:00.000Z</x:v>
      </x:c>
      <x:c r="B262" s="9" t="n">
        <x:f>'原始月度'!C262*1000</x:f>
        <x:v>57611900</x:v>
      </x:c>
      <x:c r="C262" s="9" t="n">
        <x:f>IF('原始月度'!D262=0,"",'原始月度'!D262*1000)</x:f>
        <x:v>38347850</x:v>
      </x:c>
      <x:c r="D262" s="9" t="n">
        <x:f>'原始月度'!E262*1000</x:f>
        <x:v>49884670</x:v>
      </x:c>
      <x:c r="E262" s="9" t="n">
        <x:f>IF(ISNUMBER('原始月度'!F262),'原始月度'!F262*1000,"")</x:f>
        <x:v>35031580</x:v>
      </x:c>
      <x:c r="F262" s="9" t="str">
        <x:f>IF(ISNUMBER('原始月度'!G262),'原始月度'!G262,"")</x:f>
      </x:c>
      <x:c r="G262" s="6" t="str">
        <x:v>原报非零值</x:v>
      </x:c>
      <x:c r="H262" s="6" t="str">
        <x:v>原报值</x:v>
      </x:c>
      <x:c r="I262" s="6" t="str">
        <x:v>未取得月度量</x:v>
      </x:c>
    </x:row>
    <x:row r="263" ht="25" customHeight="1">
      <x:c r="A263" s="8" t="d">
        <x:v>2022-10-01T00:00:00.000Z</x:v>
      </x:c>
      <x:c r="B263" s="10" t="n">
        <x:f>'原始月度'!C263*1000</x:f>
        <x:v>28769610</x:v>
      </x:c>
      <x:c r="C263" s="10" t="n">
        <x:f>IF('原始月度'!D263=0,"",'原始月度'!D263*1000)</x:f>
        <x:v>5542210</x:v>
      </x:c>
      <x:c r="D263" s="10" t="n">
        <x:f>'原始月度'!E263*1000</x:f>
        <x:v>16069530</x:v>
      </x:c>
      <x:c r="E263" s="10" t="n">
        <x:f>IF(ISNUMBER('原始月度'!F263),'原始月度'!F263*1000,"")</x:f>
        <x:v>51530610</x:v>
      </x:c>
      <x:c r="F263" s="10" t="str">
        <x:f>IF(ISNUMBER('原始月度'!G263),'原始月度'!G263,"")</x:f>
      </x:c>
      <x:c r="G263" s="2" t="str">
        <x:v>原报非零值</x:v>
      </x:c>
      <x:c r="H263" s="2" t="str">
        <x:v>原报值</x:v>
      </x:c>
      <x:c r="I263" s="2" t="str">
        <x:v>未取得月度量</x:v>
      </x:c>
    </x:row>
    <x:row r="264" ht="25" customHeight="1">
      <x:c r="A264" s="7" t="d">
        <x:v>2022-11-01T00:00:00.000Z</x:v>
      </x:c>
      <x:c r="B264" s="9" t="n">
        <x:f>'原始月度'!C264*1000</x:f>
        <x:v>75035440</x:v>
      </x:c>
      <x:c r="C264" s="9" t="n">
        <x:f>IF('原始月度'!D264=0,"",'原始月度'!D264*1000)</x:f>
        <x:v>40250330</x:v>
      </x:c>
      <x:c r="D264" s="9" t="n">
        <x:f>'原始月度'!E264*1000</x:f>
        <x:v>49835330</x:v>
      </x:c>
      <x:c r="E264" s="9" t="n">
        <x:f>IF(ISNUMBER('原始月度'!F264),'原始月度'!F264*1000,"")</x:f>
        <x:v>37248850</x:v>
      </x:c>
      <x:c r="F264" s="9" t="str">
        <x:f>IF(ISNUMBER('原始月度'!G264),'原始月度'!G264,"")</x:f>
      </x:c>
      <x:c r="G264" s="6" t="str">
        <x:v>原报非零值</x:v>
      </x:c>
      <x:c r="H264" s="6" t="str">
        <x:v>原报值</x:v>
      </x:c>
      <x:c r="I264" s="6" t="str">
        <x:v>未取得月度量</x:v>
      </x:c>
    </x:row>
    <x:row r="265" ht="25" customHeight="1">
      <x:c r="A265" s="8" t="d">
        <x:v>2022-12-01T00:00:00.000Z</x:v>
      </x:c>
      <x:c r="B265" s="10" t="n">
        <x:f>'原始月度'!C265*1000</x:f>
        <x:v>45574870</x:v>
      </x:c>
      <x:c r="C265" s="10" t="n">
        <x:f>IF('原始月度'!D265=0,"",'原始月度'!D265*1000)</x:f>
        <x:v>44255310</x:v>
      </x:c>
      <x:c r="D265" s="10" t="n">
        <x:f>'原始月度'!E265*1000</x:f>
        <x:v>49492240</x:v>
      </x:c>
      <x:c r="E265" s="10" t="n">
        <x:f>IF(ISNUMBER('原始月度'!F265),'原始月度'!F265*1000,"")</x:f>
        <x:v>45258330</x:v>
      </x:c>
      <x:c r="F265" s="10" t="str">
        <x:f>IF(ISNUMBER('原始月度'!G265),'原始月度'!G265,"")</x:f>
      </x:c>
      <x:c r="G265" s="2" t="str">
        <x:v>原报非零值</x:v>
      </x:c>
      <x:c r="H265" s="2" t="str">
        <x:v>原报值</x:v>
      </x:c>
      <x:c r="I265" s="2" t="str">
        <x:v>未取得月度量</x:v>
      </x:c>
    </x:row>
    <x:row r="266" ht="25" customHeight="1">
      <x:c r="A266" s="7" t="d">
        <x:v>2023-01-01T00:00:00.000Z</x:v>
      </x:c>
      <x:c r="B266" s="9" t="n">
        <x:f>'原始月度'!C266*1000</x:f>
        <x:v>11928410</x:v>
      </x:c>
      <x:c r="C266" s="9" t="n">
        <x:f>IF('原始月度'!D266=0,"",'原始月度'!D266*1000)</x:f>
        <x:v>35044190</x:v>
      </x:c>
      <x:c r="D266" s="9" t="n">
        <x:f>'原始月度'!E266*1000</x:f>
        <x:v>64338890</x:v>
      </x:c>
      <x:c r="E266" s="9" t="n">
        <x:f>IF(ISNUMBER('原始月度'!F266),'原始月度'!F266*1000,"")</x:f>
        <x:v>59182690</x:v>
      </x:c>
      <x:c r="F266" s="9" t="str">
        <x:f>IF(ISNUMBER('原始月度'!G266),'原始月度'!G266,"")</x:f>
      </x:c>
      <x:c r="G266" s="6" t="str">
        <x:v>原报非零值</x:v>
      </x:c>
      <x:c r="H266" s="6" t="str">
        <x:v>原报值</x:v>
      </x:c>
      <x:c r="I266" s="6" t="str">
        <x:v>未取得月度量</x:v>
      </x:c>
    </x:row>
    <x:row r="267" ht="25" customHeight="1">
      <x:c r="A267" s="8" t="d">
        <x:v>2023-02-01T00:00:00.000Z</x:v>
      </x:c>
      <x:c r="B267" s="10" t="n">
        <x:f>'原始月度'!C267*1000</x:f>
        <x:v>31624990</x:v>
      </x:c>
      <x:c r="C267" s="10" t="n">
        <x:f>IF('原始月度'!D267=0,"",'原始月度'!D267*1000)</x:f>
        <x:v>48923730</x:v>
      </x:c>
      <x:c r="D267" s="10" t="n">
        <x:f>'原始月度'!E267*1000</x:f>
        <x:v>57804110</x:v>
      </x:c>
      <x:c r="E267" s="10" t="n">
        <x:f>IF(ISNUMBER('原始月度'!F267),'原始月度'!F267*1000,"")</x:f>
        <x:v>50991430</x:v>
      </x:c>
      <x:c r="F267" s="10" t="str">
        <x:f>IF(ISNUMBER('原始月度'!G267),'原始月度'!G267,"")</x:f>
      </x:c>
      <x:c r="G267" s="2" t="str">
        <x:v>原报非零值</x:v>
      </x:c>
      <x:c r="H267" s="2" t="str">
        <x:v>原报值</x:v>
      </x:c>
      <x:c r="I267" s="2" t="str">
        <x:v>未取得月度量</x:v>
      </x:c>
    </x:row>
    <x:row r="268" ht="25" customHeight="1">
      <x:c r="A268" s="7" t="d">
        <x:v>2023-03-01T00:00:00.000Z</x:v>
      </x:c>
      <x:c r="B268" s="9" t="n">
        <x:f>'原始月度'!C268*1000</x:f>
        <x:v>42071620</x:v>
      </x:c>
      <x:c r="C268" s="9" t="n">
        <x:f>IF('原始月度'!D268=0,"",'原始月度'!D268*1000)</x:f>
        <x:v>40035790</x:v>
      </x:c>
      <x:c r="D268" s="9" t="n">
        <x:f>'原始月度'!E268*1000</x:f>
        <x:v>55948010</x:v>
      </x:c>
      <x:c r="E268" s="9" t="n">
        <x:f>IF(ISNUMBER('原始月度'!F268),'原始月度'!F268*1000,"")</x:f>
        <x:v>77925060</x:v>
      </x:c>
      <x:c r="F268" s="9" t="str">
        <x:f>IF(ISNUMBER('原始月度'!G268),'原始月度'!G268,"")</x:f>
      </x:c>
      <x:c r="G268" s="6" t="str">
        <x:v>原报非零值</x:v>
      </x:c>
      <x:c r="H268" s="6" t="str">
        <x:v>原报值</x:v>
      </x:c>
      <x:c r="I268" s="6" t="str">
        <x:v>未取得月度量</x:v>
      </x:c>
    </x:row>
    <x:row r="269" ht="25" customHeight="1">
      <x:c r="A269" s="8" t="d">
        <x:v>2023-04-01T00:00:00.000Z</x:v>
      </x:c>
      <x:c r="B269" s="10" t="n">
        <x:f>'原始月度'!C269*1000</x:f>
        <x:v>50656750</x:v>
      </x:c>
      <x:c r="C269" s="10" t="n">
        <x:f>IF('原始月度'!D269=0,"",'原始月度'!D269*1000)</x:f>
        <x:v>22580720</x:v>
      </x:c>
      <x:c r="D269" s="10" t="n">
        <x:f>'原始月度'!E269*1000</x:f>
        <x:v>28306130</x:v>
      </x:c>
      <x:c r="E269" s="10" t="n">
        <x:f>IF(ISNUMBER('原始月度'!F269),'原始月度'!F269*1000,"")</x:f>
        <x:v>81658430</x:v>
      </x:c>
      <x:c r="F269" s="10" t="str">
        <x:f>IF(ISNUMBER('原始月度'!G269),'原始月度'!G269,"")</x:f>
      </x:c>
      <x:c r="G269" s="2" t="str">
        <x:v>原报非零值</x:v>
      </x:c>
      <x:c r="H269" s="2" t="str">
        <x:v>原报值</x:v>
      </x:c>
      <x:c r="I269" s="2" t="str">
        <x:v>未取得月度量</x:v>
      </x:c>
    </x:row>
    <x:row r="270" ht="25" customHeight="1">
      <x:c r="A270" s="7" t="d">
        <x:v>2023-05-01T00:00:00.000Z</x:v>
      </x:c>
      <x:c r="B270" s="9" t="n">
        <x:f>'原始月度'!C270*1000</x:f>
        <x:v>37791380</x:v>
      </x:c>
      <x:c r="C270" s="9" t="n">
        <x:f>IF('原始月度'!D270=0,"",'原始月度'!D270*1000)</x:f>
        <x:v>51210930</x:v>
      </x:c>
      <x:c r="D270" s="9" t="n">
        <x:f>'原始月度'!E270*1000</x:f>
        <x:v>60313220</x:v>
      </x:c>
      <x:c r="E270" s="9" t="n">
        <x:f>IF(ISNUMBER('原始月度'!F270),'原始月度'!F270*1000,"")</x:f>
        <x:v>84081590</x:v>
      </x:c>
      <x:c r="F270" s="9" t="str">
        <x:f>IF(ISNUMBER('原始月度'!G270),'原始月度'!G270,"")</x:f>
      </x:c>
      <x:c r="G270" s="6" t="str">
        <x:v>原报非零值</x:v>
      </x:c>
      <x:c r="H270" s="6" t="str">
        <x:v>原报值</x:v>
      </x:c>
      <x:c r="I270" s="6" t="str">
        <x:v>未取得月度量</x:v>
      </x:c>
    </x:row>
    <x:row r="271" ht="25" customHeight="1">
      <x:c r="A271" s="8" t="d">
        <x:v>2023-06-01T00:00:00.000Z</x:v>
      </x:c>
      <x:c r="B271" s="10" t="n">
        <x:f>'原始月度'!C271*1000</x:f>
        <x:v>50594970</x:v>
      </x:c>
      <x:c r="C271" s="10" t="n">
        <x:f>IF('原始月度'!D271=0,"",'原始月度'!D271*1000)</x:f>
        <x:v>30972990</x:v>
      </x:c>
      <x:c r="D271" s="10" t="n">
        <x:f>'原始月度'!E271*1000</x:f>
        <x:v>38974300</x:v>
      </x:c>
      <x:c r="E271" s="10" t="n">
        <x:f>IF(ISNUMBER('原始月度'!F271),'原始月度'!F271*1000,"")</x:f>
        <x:v>50883980</x:v>
      </x:c>
      <x:c r="F271" s="10" t="str">
        <x:f>IF(ISNUMBER('原始月度'!G271),'原始月度'!G271,"")</x:f>
      </x:c>
      <x:c r="G271" s="2" t="str">
        <x:v>原报非零值</x:v>
      </x:c>
      <x:c r="H271" s="2" t="str">
        <x:v>原报值</x:v>
      </x:c>
      <x:c r="I271" s="2" t="str">
        <x:v>未取得月度量</x:v>
      </x:c>
    </x:row>
    <x:row r="272" ht="25" customHeight="1">
      <x:c r="A272" s="7" t="d">
        <x:v>2023-07-01T00:00:00.000Z</x:v>
      </x:c>
      <x:c r="B272" s="9" t="n">
        <x:f>'原始月度'!C272*1000</x:f>
        <x:v>34130580</x:v>
      </x:c>
      <x:c r="C272" s="9" t="n">
        <x:f>IF('原始月度'!D272=0,"",'原始月度'!D272*1000)</x:f>
        <x:v>38273120</x:v>
      </x:c>
      <x:c r="D272" s="9" t="n">
        <x:f>'原始月度'!E272*1000</x:f>
        <x:v>45347100</x:v>
      </x:c>
      <x:c r="E272" s="9" t="n">
        <x:f>IF(ISNUMBER('原始月度'!F272),'原始月度'!F272*1000,"")</x:f>
        <x:v>63944540</x:v>
      </x:c>
      <x:c r="F272" s="9" t="str">
        <x:f>IF(ISNUMBER('原始月度'!G272),'原始月度'!G272,"")</x:f>
      </x:c>
      <x:c r="G272" s="6" t="str">
        <x:v>原报非零值</x:v>
      </x:c>
      <x:c r="H272" s="6" t="str">
        <x:v>原报值</x:v>
      </x:c>
      <x:c r="I272" s="6" t="str">
        <x:v>未取得月度量</x:v>
      </x:c>
    </x:row>
    <x:row r="273" ht="25" customHeight="1">
      <x:c r="A273" s="8" t="d">
        <x:v>2023-08-01T00:00:00.000Z</x:v>
      </x:c>
      <x:c r="B273" s="10" t="n">
        <x:f>'原始月度'!C273*1000</x:f>
        <x:v>69192980</x:v>
      </x:c>
      <x:c r="C273" s="10" t="n">
        <x:f>IF('原始月度'!D273=0,"",'原始月度'!D273*1000)</x:f>
        <x:v>28294830</x:v>
      </x:c>
      <x:c r="D273" s="10" t="n">
        <x:f>'原始月度'!E273*1000</x:f>
        <x:v>44810970</x:v>
      </x:c>
      <x:c r="E273" s="10" t="n">
        <x:f>IF(ISNUMBER('原始月度'!F273),'原始月度'!F273*1000,"")</x:f>
        <x:v>35471590</x:v>
      </x:c>
      <x:c r="F273" s="10" t="str">
        <x:f>IF(ISNUMBER('原始月度'!G273),'原始月度'!G273,"")</x:f>
      </x:c>
      <x:c r="G273" s="2" t="str">
        <x:v>原报非零值</x:v>
      </x:c>
      <x:c r="H273" s="2" t="str">
        <x:v>原报值</x:v>
      </x:c>
      <x:c r="I273" s="2" t="str">
        <x:v>未取得月度量</x:v>
      </x:c>
    </x:row>
    <x:row r="274" ht="25" customHeight="1">
      <x:c r="A274" s="7" t="d">
        <x:v>2023-09-01T00:00:00.000Z</x:v>
      </x:c>
      <x:c r="B274" s="9" t="n">
        <x:f>'原始月度'!C274*1000</x:f>
        <x:v>35049970</x:v>
      </x:c>
      <x:c r="C274" s="9" t="n">
        <x:f>IF('原始月度'!D274=0,"",'原始月度'!D274*1000)</x:f>
        <x:v>26295590</x:v>
      </x:c>
      <x:c r="D274" s="9" t="n">
        <x:f>'原始月度'!E274*1000</x:f>
        <x:v>24355510</x:v>
      </x:c>
      <x:c r="E274" s="9" t="n">
        <x:f>IF(ISNUMBER('原始月度'!F274),'原始月度'!F274*1000,"")</x:f>
        <x:v>57458070</x:v>
      </x:c>
      <x:c r="F274" s="9" t="str">
        <x:f>IF(ISNUMBER('原始月度'!G274),'原始月度'!G274,"")</x:f>
      </x:c>
      <x:c r="G274" s="6" t="str">
        <x:v>原报非零值</x:v>
      </x:c>
      <x:c r="H274" s="6" t="str">
        <x:v>原报值</x:v>
      </x:c>
      <x:c r="I274" s="6" t="str">
        <x:v>未取得月度量</x:v>
      </x:c>
    </x:row>
    <x:row r="275" ht="25" customHeight="1">
      <x:c r="A275" s="8" t="d">
        <x:v>2023-10-01T00:00:00.000Z</x:v>
      </x:c>
      <x:c r="B275" s="10" t="n">
        <x:f>'原始月度'!C275*1000</x:f>
        <x:v>20187300</x:v>
      </x:c>
      <x:c r="C275" s="10" t="n">
        <x:f>IF('原始月度'!D275=0,"",'原始月度'!D275*1000)</x:f>
        <x:v>42234980</x:v>
      </x:c>
      <x:c r="D275" s="10" t="n">
        <x:f>'原始月度'!E275*1000</x:f>
        <x:v>63186030</x:v>
      </x:c>
      <x:c r="E275" s="10" t="n">
        <x:f>IF(ISNUMBER('原始月度'!F275),'原始月度'!F275*1000,"")</x:f>
        <x:v>63522430</x:v>
      </x:c>
      <x:c r="F275" s="10" t="str">
        <x:f>IF(ISNUMBER('原始月度'!G275),'原始月度'!G275,"")</x:f>
      </x:c>
      <x:c r="G275" s="2" t="str">
        <x:v>原报非零值</x:v>
      </x:c>
      <x:c r="H275" s="2" t="str">
        <x:v>原报值</x:v>
      </x:c>
      <x:c r="I275" s="2" t="str">
        <x:v>未取得月度量</x:v>
      </x:c>
    </x:row>
    <x:row r="276" ht="25" customHeight="1">
      <x:c r="A276" s="7" t="d">
        <x:v>2023-11-01T00:00:00.000Z</x:v>
      </x:c>
      <x:c r="B276" s="9" t="n">
        <x:f>'原始月度'!C276*1000</x:f>
        <x:v>22034960</x:v>
      </x:c>
      <x:c r="C276" s="9" t="n">
        <x:f>IF('原始月度'!D276=0,"",'原始月度'!D276*1000)</x:f>
        <x:v>1969280</x:v>
      </x:c>
      <x:c r="D276" s="9" t="n">
        <x:f>'原始月度'!E276*1000</x:f>
        <x:v>18873520</x:v>
      </x:c>
      <x:c r="E276" s="9" t="n">
        <x:f>IF(ISNUMBER('原始月度'!F276),'原始月度'!F276*1000,"")</x:f>
        <x:v>57305700</x:v>
      </x:c>
      <x:c r="F276" s="9" t="str">
        <x:f>IF(ISNUMBER('原始月度'!G276),'原始月度'!G276,"")</x:f>
      </x:c>
      <x:c r="G276" s="6" t="str">
        <x:v>原报非零值</x:v>
      </x:c>
      <x:c r="H276" s="6" t="str">
        <x:v>原报值</x:v>
      </x:c>
      <x:c r="I276" s="6" t="str">
        <x:v>未取得月度量</x:v>
      </x:c>
    </x:row>
    <x:row r="277" ht="25" customHeight="1">
      <x:c r="A277" s="8" t="d">
        <x:v>2023-12-01T00:00:00.000Z</x:v>
      </x:c>
      <x:c r="B277" s="10" t="n">
        <x:f>'原始月度'!C277*1000</x:f>
        <x:v>24128810</x:v>
      </x:c>
      <x:c r="C277" s="10" t="n">
        <x:f>IF('原始月度'!D277=0,"",'原始月度'!D277*1000)</x:f>
        <x:v>63051730</x:v>
      </x:c>
      <x:c r="D277" s="10" t="n">
        <x:f>'原始月度'!E277*1000</x:f>
        <x:v>77153860</x:v>
      </x:c>
      <x:c r="E277" s="10" t="n">
        <x:f>IF(ISNUMBER('原始月度'!F277),'原始月度'!F277*1000,"")</x:f>
        <x:v>72696640</x:v>
      </x:c>
      <x:c r="F277" s="10" t="str">
        <x:f>IF(ISNUMBER('原始月度'!G277),'原始月度'!G277,"")</x:f>
      </x:c>
      <x:c r="G277" s="2" t="str">
        <x:v>原报非零值</x:v>
      </x:c>
      <x:c r="H277" s="2" t="str">
        <x:v>原报值</x:v>
      </x:c>
      <x:c r="I277" s="2" t="str">
        <x:v>未取得月度量</x:v>
      </x:c>
    </x:row>
    <x:row r="278" ht="25" customHeight="1">
      <x:c r="A278" s="7" t="d">
        <x:v>2024-01-01T00:00:00.000Z</x:v>
      </x:c>
      <x:c r="B278" s="9" t="n">
        <x:f>'原始月度'!C278*1000</x:f>
        <x:v>15454190</x:v>
      </x:c>
      <x:c r="C278" s="9" t="n">
        <x:f>IF('原始月度'!D278=0,"",'原始月度'!D278*1000)</x:f>
        <x:v>63280480</x:v>
      </x:c>
      <x:c r="D278" s="9" t="n">
        <x:f>'原始月度'!E278*1000</x:f>
        <x:v>98554490</x:v>
      </x:c>
      <x:c r="E278" s="9" t="n">
        <x:f>IF(ISNUMBER('原始月度'!F278),'原始月度'!F278*1000,"")</x:f>
        <x:v>63395040</x:v>
      </x:c>
      <x:c r="F278" s="9" t="str">
        <x:f>IF(ISNUMBER('原始月度'!G278),'原始月度'!G278,"")</x:f>
      </x:c>
      <x:c r="G278" s="6" t="str">
        <x:v>原报非零值</x:v>
      </x:c>
      <x:c r="H278" s="6" t="str">
        <x:v>原报值</x:v>
      </x:c>
      <x:c r="I278" s="6" t="str">
        <x:v>未取得月度量</x:v>
      </x:c>
    </x:row>
    <x:row r="279" ht="25" customHeight="1">
      <x:c r="A279" s="8" t="d">
        <x:v>2024-02-01T00:00:00.000Z</x:v>
      </x:c>
      <x:c r="B279" s="10" t="n">
        <x:f>'原始月度'!C279*1000</x:f>
        <x:v>36482400</x:v>
      </x:c>
      <x:c r="C279" s="10" t="n">
        <x:f>IF('原始月度'!D279=0,"",'原始月度'!D279*1000)</x:f>
        <x:v>25819810</x:v>
      </x:c>
      <x:c r="D279" s="10" t="n">
        <x:f>'原始月度'!E279*1000</x:f>
        <x:v>54253200</x:v>
      </x:c>
      <x:c r="E279" s="10" t="n">
        <x:f>IF(ISNUMBER('原始月度'!F279),'原始月度'!F279*1000,"")</x:f>
        <x:v>89670800</x:v>
      </x:c>
      <x:c r="F279" s="10" t="str">
        <x:f>IF(ISNUMBER('原始月度'!G279),'原始月度'!G279,"")</x:f>
      </x:c>
      <x:c r="G279" s="2" t="str">
        <x:v>原报非零值</x:v>
      </x:c>
      <x:c r="H279" s="2" t="str">
        <x:v>原报值</x:v>
      </x:c>
      <x:c r="I279" s="2" t="str">
        <x:v>未取得月度量</x:v>
      </x:c>
    </x:row>
    <x:row r="280" ht="25" customHeight="1">
      <x:c r="A280" s="7" t="d">
        <x:v>2024-03-01T00:00:00.000Z</x:v>
      </x:c>
      <x:c r="B280" s="9" t="n">
        <x:f>'原始月度'!C280*1000</x:f>
        <x:v>24803510</x:v>
      </x:c>
      <x:c r="C280" s="9" t="n">
        <x:f>IF('原始月度'!D280=0,"",'原始月度'!D280*1000)</x:f>
        <x:v>58433270</x:v>
      </x:c>
      <x:c r="D280" s="9" t="n">
        <x:f>'原始月度'!E280*1000</x:f>
        <x:v>85060830</x:v>
      </x:c>
      <x:c r="E280" s="9" t="n">
        <x:f>IF(ISNUMBER('原始月度'!F280),'原始月度'!F280*1000,"")</x:f>
        <x:v>68037990</x:v>
      </x:c>
      <x:c r="F280" s="9" t="str">
        <x:f>IF(ISNUMBER('原始月度'!G280),'原始月度'!G280,"")</x:f>
      </x:c>
      <x:c r="G280" s="6" t="str">
        <x:v>原报非零值</x:v>
      </x:c>
      <x:c r="H280" s="6" t="str">
        <x:v>原报值</x:v>
      </x:c>
      <x:c r="I280" s="6" t="str">
        <x:v>未取得月度量</x:v>
      </x:c>
    </x:row>
    <x:row r="281" ht="25" customHeight="1">
      <x:c r="A281" s="8" t="d">
        <x:v>2024-04-01T00:00:00.000Z</x:v>
      </x:c>
      <x:c r="B281" s="10" t="n">
        <x:f>'原始月度'!C281*1000</x:f>
        <x:v>23799920</x:v>
      </x:c>
      <x:c r="C281" s="10" t="n">
        <x:f>IF('原始月度'!D281=0,"",'原始月度'!D281*1000)</x:f>
        <x:v>24458410</x:v>
      </x:c>
      <x:c r="D281" s="10" t="n">
        <x:f>'原始月度'!E281*1000</x:f>
        <x:v>49989610</x:v>
      </x:c>
      <x:c r="E281" s="10" t="n">
        <x:f>IF(ISNUMBER('原始月度'!F281),'原始月度'!F281*1000,"")</x:f>
        <x:v>140035330</x:v>
      </x:c>
      <x:c r="F281" s="10" t="str">
        <x:f>IF(ISNUMBER('原始月度'!G281),'原始月度'!G281,"")</x:f>
      </x:c>
      <x:c r="G281" s="2" t="str">
        <x:v>原报非零值</x:v>
      </x:c>
      <x:c r="H281" s="2" t="str">
        <x:v>原报值</x:v>
      </x:c>
      <x:c r="I281" s="2" t="str">
        <x:v>未取得月度量</x:v>
      </x:c>
    </x:row>
    <x:row r="282" ht="25" customHeight="1">
      <x:c r="A282" s="7" t="d">
        <x:v>2024-05-01T00:00:00.000Z</x:v>
      </x:c>
      <x:c r="B282" s="9" t="n">
        <x:f>'原始月度'!C282*1000</x:f>
        <x:v>57161220</x:v>
      </x:c>
      <x:c r="C282" s="9" t="n">
        <x:f>IF('原始月度'!D282=0,"",'原始月度'!D282*1000)</x:f>
        <x:v>33742090</x:v>
      </x:c>
      <x:c r="D282" s="9" t="n">
        <x:f>'原始月度'!E282*1000</x:f>
        <x:v>59992970</x:v>
      </x:c>
      <x:c r="E282" s="9" t="n">
        <x:f>IF(ISNUMBER('原始月度'!F282),'原始月度'!F282*1000,"")</x:f>
        <x:v>58318040</x:v>
      </x:c>
      <x:c r="F282" s="9" t="str">
        <x:f>IF(ISNUMBER('原始月度'!G282),'原始月度'!G282,"")</x:f>
      </x:c>
      <x:c r="G282" s="6" t="str">
        <x:v>原报非零值</x:v>
      </x:c>
      <x:c r="H282" s="6" t="str">
        <x:v>原报值</x:v>
      </x:c>
      <x:c r="I282" s="6" t="str">
        <x:v>未取得月度量</x:v>
      </x:c>
    </x:row>
    <x:row r="283" ht="25" customHeight="1">
      <x:c r="A283" s="8" t="d">
        <x:v>2024-06-01T00:00:00.000Z</x:v>
      </x:c>
      <x:c r="B283" s="10" t="n">
        <x:f>'原始月度'!C283*1000</x:f>
        <x:v>39257420</x:v>
      </x:c>
      <x:c r="C283" s="10" t="n">
        <x:f>IF('原始月度'!D283=0,"",'原始月度'!D283*1000)</x:f>
        <x:v>52375790</x:v>
      </x:c>
      <x:c r="D283" s="10" t="n">
        <x:f>'原始月度'!E283*1000</x:f>
        <x:v>83231210</x:v>
      </x:c>
      <x:c r="E283" s="10" t="n">
        <x:f>IF(ISNUMBER('原始月度'!F283),'原始月度'!F283*1000,"")</x:f>
        <x:v>71427960</x:v>
      </x:c>
      <x:c r="F283" s="10" t="str">
        <x:f>IF(ISNUMBER('原始月度'!G283),'原始月度'!G283,"")</x:f>
      </x:c>
      <x:c r="G283" s="2" t="str">
        <x:v>原报非零值</x:v>
      </x:c>
      <x:c r="H283" s="2" t="str">
        <x:v>原报值</x:v>
      </x:c>
      <x:c r="I283" s="2" t="str">
        <x:v>未取得月度量</x:v>
      </x:c>
    </x:row>
    <x:row r="284" ht="25" customHeight="1">
      <x:c r="A284" s="7" t="d">
        <x:v>2024-07-01T00:00:00.000Z</x:v>
      </x:c>
      <x:c r="B284" s="9" t="n">
        <x:f>'原始月度'!C284*1000</x:f>
        <x:v>33337280</x:v>
      </x:c>
      <x:c r="C284" s="9" t="n">
        <x:f>IF('原始月度'!D284=0,"",'原始月度'!D284*1000)</x:f>
        <x:v>14959500</x:v>
      </x:c>
      <x:c r="D284" s="9" t="n">
        <x:f>'原始月度'!E284*1000</x:f>
        <x:v>40799270</x:v>
      </x:c>
      <x:c r="E284" s="9" t="n">
        <x:f>IF(ISNUMBER('原始月度'!F284),'原始月度'!F284*1000,"")</x:f>
        <x:v>49364010</x:v>
      </x:c>
      <x:c r="F284" s="9" t="str">
        <x:f>IF(ISNUMBER('原始月度'!G284),'原始月度'!G284,"")</x:f>
      </x:c>
      <x:c r="G284" s="6" t="str">
        <x:v>原报非零值</x:v>
      </x:c>
      <x:c r="H284" s="6" t="str">
        <x:v>原报值</x:v>
      </x:c>
      <x:c r="I284" s="6" t="str">
        <x:v>未取得月度量</x:v>
      </x:c>
    </x:row>
    <x:row r="285" ht="25" customHeight="1">
      <x:c r="A285" s="8" t="d">
        <x:v>2024-08-01T00:00:00.000Z</x:v>
      </x:c>
      <x:c r="B285" s="10" t="n">
        <x:f>'原始月度'!C285*1000</x:f>
        <x:v>22079000</x:v>
      </x:c>
      <x:c r="C285" s="10" t="n">
        <x:f>IF('原始月度'!D285=0,"",'原始月度'!D285*1000)</x:f>
        <x:v>36033550</x:v>
      </x:c>
      <x:c r="D285" s="10" t="n">
        <x:f>'原始月度'!E285*1000</x:f>
        <x:v>63245290</x:v>
      </x:c>
      <x:c r="E285" s="10" t="n">
        <x:f>IF(ISNUMBER('原始月度'!F285),'原始月度'!F285*1000,"")</x:f>
        <x:v>33382089.999999996</x:v>
      </x:c>
      <x:c r="F285" s="10" t="str">
        <x:f>IF(ISNUMBER('原始月度'!G285),'原始月度'!G285,"")</x:f>
      </x:c>
      <x:c r="G285" s="2" t="str">
        <x:v>原报非零值</x:v>
      </x:c>
      <x:c r="H285" s="2" t="str">
        <x:v>原报值</x:v>
      </x:c>
      <x:c r="I285" s="2" t="str">
        <x:v>未取得月度量</x:v>
      </x:c>
    </x:row>
    <x:row r="286" ht="25" customHeight="1">
      <x:c r="A286" s="7" t="d">
        <x:v>2024-09-01T00:00:00.000Z</x:v>
      </x:c>
      <x:c r="B286" s="9" t="n">
        <x:f>'原始月度'!C286*1000</x:f>
        <x:v>73813290</x:v>
      </x:c>
      <x:c r="C286" s="9" t="n">
        <x:f>IF('原始月度'!D286=0,"",'原始月度'!D286*1000)</x:f>
        <x:v>36151150</x:v>
      </x:c>
      <x:c r="D286" s="9" t="n">
        <x:f>'原始月度'!E286*1000</x:f>
        <x:v>54225240</x:v>
      </x:c>
      <x:c r="E286" s="9" t="n">
        <x:f>IF(ISNUMBER('原始月度'!F286),'原始月度'!F286*1000,"")</x:f>
        <x:v>39354360</x:v>
      </x:c>
      <x:c r="F286" s="9" t="str">
        <x:f>IF(ISNUMBER('原始月度'!G286),'原始月度'!G286,"")</x:f>
      </x:c>
      <x:c r="G286" s="6" t="str">
        <x:v>原报非零值</x:v>
      </x:c>
      <x:c r="H286" s="6" t="str">
        <x:v>原报值</x:v>
      </x:c>
      <x:c r="I286" s="6" t="str">
        <x:v>未取得月度量</x:v>
      </x:c>
    </x:row>
    <x:row r="287" ht="25" customHeight="1">
      <x:c r="A287" s="8" t="d">
        <x:v>2024-10-01T00:00:00.000Z</x:v>
      </x:c>
      <x:c r="B287" s="10" t="n">
        <x:f>'原始月度'!C287*1000</x:f>
        <x:v>31117840</x:v>
      </x:c>
      <x:c r="C287" s="10" t="n">
        <x:f>IF('原始月度'!D287=0,"",'原始月度'!D287*1000)</x:f>
        <x:v>24243240</x:v>
      </x:c>
      <x:c r="D287" s="10" t="n">
        <x:f>'原始月度'!E287*1000</x:f>
        <x:v>53118110</x:v>
      </x:c>
      <x:c r="E287" s="10" t="n">
        <x:f>IF(ISNUMBER('原始月度'!F287),'原始月度'!F287*1000,"")</x:f>
        <x:v>52889540</x:v>
      </x:c>
      <x:c r="F287" s="10" t="str">
        <x:f>IF(ISNUMBER('原始月度'!G287),'原始月度'!G287,"")</x:f>
      </x:c>
      <x:c r="G287" s="2" t="str">
        <x:v>原报非零值</x:v>
      </x:c>
      <x:c r="H287" s="2" t="str">
        <x:v>原报值</x:v>
      </x:c>
      <x:c r="I287" s="2" t="str">
        <x:v>未取得月度量</x:v>
      </x:c>
    </x:row>
    <x:row r="288" ht="25" customHeight="1">
      <x:c r="A288" s="7" t="d">
        <x:v>2024-11-01T00:00:00.000Z</x:v>
      </x:c>
      <x:c r="B288" s="9" t="n">
        <x:f>'原始月度'!C288*1000</x:f>
        <x:v>35991480</x:v>
      </x:c>
      <x:c r="C288" s="9" t="n">
        <x:f>IF('原始月度'!D288=0,"",'原始月度'!D288*1000)</x:f>
        <x:v>25281430</x:v>
      </x:c>
      <x:c r="D288" s="9" t="n">
        <x:f>'原始月度'!E288*1000</x:f>
        <x:v>49023490</x:v>
      </x:c>
      <x:c r="E288" s="9" t="n">
        <x:f>IF(ISNUMBER('原始月度'!F288),'原始月度'!F288*1000,"")</x:f>
        <x:v>83795300</x:v>
      </x:c>
      <x:c r="F288" s="9" t="str">
        <x:f>IF(ISNUMBER('原始月度'!G288),'原始月度'!G288,"")</x:f>
      </x:c>
      <x:c r="G288" s="6" t="str">
        <x:v>原报非零值</x:v>
      </x:c>
      <x:c r="H288" s="6" t="str">
        <x:v>原报值</x:v>
      </x:c>
      <x:c r="I288" s="6" t="str">
        <x:v>未取得月度量</x:v>
      </x:c>
    </x:row>
    <x:row r="289" ht="25" customHeight="1">
      <x:c r="A289" s="8" t="d">
        <x:v>2024-12-01T00:00:00.000Z</x:v>
      </x:c>
      <x:c r="B289" s="10" t="n">
        <x:f>'原始月度'!C289*1000</x:f>
        <x:v>52926230.01</x:v>
      </x:c>
      <x:c r="C289" s="10" t="n">
        <x:f>IF('原始月度'!D289=0,"",'原始月度'!D289*1000)</x:f>
        <x:v>31918522.45</x:v>
      </x:c>
      <x:c r="D289" s="10" t="n">
        <x:f>'原始月度'!E289*1000</x:f>
        <x:v>55530960.99</x:v>
      </x:c>
      <x:c r="E289" s="10" t="n">
        <x:f>IF(ISNUMBER('原始月度'!F289),'原始月度'!F289*1000,"")</x:f>
        <x:v>80344550</x:v>
      </x:c>
      <x:c r="F289" s="10" t="str">
        <x:f>IF(ISNUMBER('原始月度'!G289),'原始月度'!G289,"")</x:f>
      </x:c>
      <x:c r="G289" s="2" t="str">
        <x:v>原报非零值</x:v>
      </x:c>
      <x:c r="H289" s="2" t="str">
        <x:v>原报值</x:v>
      </x:c>
      <x:c r="I289" s="2" t="str">
        <x:v>未取得月度量</x:v>
      </x:c>
    </x:row>
    <x:row r="290" ht="25" customHeight="1">
      <x:c r="A290" s="7" t="d">
        <x:v>2025-01-01T00:00:00.000Z</x:v>
      </x:c>
      <x:c r="B290" s="9" t="n">
        <x:f>'原始月度'!C290*1000</x:f>
        <x:v>15507694.100000001</x:v>
      </x:c>
      <x:c r="C290" s="11" t="str">
        <x:f>IF('原始月度'!D290=0,"",'原始月度'!D290*1000)</x:f>
      </x:c>
      <x:c r="D290" s="9" t="n">
        <x:f>'原始月度'!E290*1000</x:f>
        <x:v>91758484.21</x:v>
      </x:c>
      <x:c r="E290" s="9" t="n">
        <x:f>IF(ISNUMBER('原始月度'!F290),'原始月度'!F290*1000,"")</x:f>
        <x:v>86784762.5</x:v>
      </x:c>
      <x:c r="F290" s="9" t="str">
        <x:f>IF(ISNUMBER('原始月度'!G290),'原始月度'!G290,"")</x:f>
      </x:c>
      <x:c r="G290" s="12" t="str">
        <x:v>原报零值待核实</x:v>
      </x:c>
      <x:c r="H290" s="6" t="str">
        <x:v>原报值</x:v>
      </x:c>
      <x:c r="I290" s="6" t="str">
        <x:v>未取得月度量</x:v>
      </x:c>
    </x:row>
    <x:row r="291" ht="25" customHeight="1">
      <x:c r="A291" s="8" t="d">
        <x:v>2025-02-01T00:00:00.000Z</x:v>
      </x:c>
      <x:c r="B291" s="10" t="n">
        <x:f>'原始月度'!C291*1000</x:f>
        <x:v>61474780.14</x:v>
      </x:c>
      <x:c r="C291" s="10" t="n">
        <x:f>IF('原始月度'!D291=0,"",'原始月度'!D291*1000)</x:f>
        <x:v>37114533.12</x:v>
      </x:c>
      <x:c r="D291" s="10" t="n">
        <x:f>'原始月度'!E291*1000</x:f>
        <x:v>70041715.53</x:v>
      </x:c>
      <x:c r="E291" s="10" t="n">
        <x:f>IF(ISNUMBER('原始月度'!F291),'原始月度'!F291*1000,"")</x:f>
        <x:v>74799993.38</x:v>
      </x:c>
      <x:c r="F291" s="10" t="str">
        <x:f>IF(ISNUMBER('原始月度'!G291),'原始月度'!G291,"")</x:f>
      </x:c>
      <x:c r="G291" s="2" t="str">
        <x:v>原报非零值</x:v>
      </x:c>
      <x:c r="H291" s="2" t="str">
        <x:v>原报值</x:v>
      </x:c>
      <x:c r="I291" s="2" t="str">
        <x:v>未取得月度量</x:v>
      </x:c>
    </x:row>
    <x:row r="292" ht="25" customHeight="1">
      <x:c r="A292" s="7" t="d">
        <x:v>2025-03-01T00:00:00.000Z</x:v>
      </x:c>
      <x:c r="B292" s="9" t="n">
        <x:f>'原始月度'!C292*1000</x:f>
        <x:v>46656954.42</x:v>
      </x:c>
      <x:c r="C292" s="11" t="str">
        <x:f>IF('原始月度'!D292=0,"",'原始月度'!D292*1000)</x:f>
      </x:c>
      <x:c r="D292" s="9" t="n">
        <x:f>'原始月度'!E292*1000</x:f>
        <x:v>55547243.03</x:v>
      </x:c>
      <x:c r="E292" s="9" t="n">
        <x:f>IF(ISNUMBER('原始月度'!F292),'原始月度'!F292*1000,"")</x:f>
        <x:v>72734382.3</x:v>
      </x:c>
      <x:c r="F292" s="9" t="str">
        <x:f>IF(ISNUMBER('原始月度'!G292),'原始月度'!G292,"")</x:f>
      </x:c>
      <x:c r="G292" s="12" t="str">
        <x:v>原报零值待核实</x:v>
      </x:c>
      <x:c r="H292" s="6" t="str">
        <x:v>原报值</x:v>
      </x:c>
      <x:c r="I292" s="6" t="str">
        <x:v>未取得月度量</x:v>
      </x:c>
    </x:row>
    <x:row r="293" ht="25" customHeight="1">
      <x:c r="A293" s="8" t="d">
        <x:v>2025-04-01T00:00:00.000Z</x:v>
      </x:c>
      <x:c r="B293" s="10" t="n">
        <x:f>'原始月度'!C293*1000</x:f>
        <x:v>22042306.74</x:v>
      </x:c>
      <x:c r="C293" s="10" t="n">
        <x:f>IF('原始月度'!D293=0,"",'原始月度'!D293*1000)</x:f>
        <x:v>50837966.96</x:v>
      </x:c>
      <x:c r="D293" s="10" t="n">
        <x:f>'原始月度'!E293*1000</x:f>
        <x:v>60176020.35</x:v>
      </x:c>
      <x:c r="E293" s="10" t="n">
        <x:f>IF(ISNUMBER('原始月度'!F293),'原始月度'!F293*1000,"")</x:f>
        <x:v>91489499</x:v>
      </x:c>
      <x:c r="F293" s="10" t="str">
        <x:f>IF(ISNUMBER('原始月度'!G293),'原始月度'!G293,"")</x:f>
      </x:c>
      <x:c r="G293" s="2" t="str">
        <x:v>原报非零值</x:v>
      </x:c>
      <x:c r="H293" s="2" t="str">
        <x:v>原报值</x:v>
      </x:c>
      <x:c r="I293" s="2" t="str">
        <x:v>未取得月度量</x:v>
      </x:c>
    </x:row>
    <x:row r="294" ht="25" customHeight="1">
      <x:c r="A294" s="7" t="d">
        <x:v>2025-05-01T00:00:00.000Z</x:v>
      </x:c>
      <x:c r="B294" s="9" t="n">
        <x:f>'原始月度'!C294*1000</x:f>
        <x:v>38894324.83</x:v>
      </x:c>
      <x:c r="C294" s="9" t="n">
        <x:f>IF('原始月度'!D294=0,"",'原始月度'!D294*1000)</x:f>
        <x:v>28048535.51</x:v>
      </x:c>
      <x:c r="D294" s="9" t="n">
        <x:f>'原始月度'!E294*1000</x:f>
        <x:v>36577654.6</x:v>
      </x:c>
      <x:c r="E294" s="9" t="n">
        <x:f>IF(ISNUMBER('原始月度'!F294),'原始月度'!F294*1000,"")</x:f>
        <x:v>88360026</x:v>
      </x:c>
      <x:c r="F294" s="9" t="str">
        <x:f>IF(ISNUMBER('原始月度'!G294),'原始月度'!G294,"")</x:f>
      </x:c>
      <x:c r="G294" s="6" t="str">
        <x:v>原报非零值</x:v>
      </x:c>
      <x:c r="H294" s="6" t="str">
        <x:v>原报值</x:v>
      </x:c>
      <x:c r="I294" s="6" t="str">
        <x:v>未取得月度量</x:v>
      </x:c>
    </x:row>
    <x:row r="295" ht="25" customHeight="1">
      <x:c r="A295" s="8" t="d">
        <x:v>2025-06-01T00:00:00.000Z</x:v>
      </x:c>
      <x:c r="B295" s="10" t="n">
        <x:f>'原始月度'!C295*1000</x:f>
        <x:v>32953099.98</x:v>
      </x:c>
      <x:c r="C295" s="10" t="n">
        <x:f>IF('原始月度'!D295=0,"",'原始月度'!D295*1000)</x:f>
        <x:v>33624478.519999996</x:v>
      </x:c>
      <x:c r="D295" s="10" t="n">
        <x:f>'原始月度'!E295*1000</x:f>
        <x:v>40630817.17</x:v>
      </x:c>
      <x:c r="E295" s="10" t="n">
        <x:f>IF(ISNUMBER('原始月度'!F295),'原始月度'!F295*1000,"")</x:f>
        <x:v>65805352</x:v>
      </x:c>
      <x:c r="F295" s="10" t="str">
        <x:f>IF(ISNUMBER('原始月度'!G295),'原始月度'!G295,"")</x:f>
      </x:c>
      <x:c r="G295" s="2" t="str">
        <x:v>原报非零值</x:v>
      </x:c>
      <x:c r="H295" s="2" t="str">
        <x:v>原报值</x:v>
      </x:c>
      <x:c r="I295" s="2" t="str">
        <x:v>未取得月度量</x:v>
      </x:c>
    </x:row>
    <x:row r="296" ht="25" customHeight="1">
      <x:c r="A296" s="7" t="d">
        <x:v>2025-07-01T00:00:00.000Z</x:v>
      </x:c>
      <x:c r="B296" s="9" t="n">
        <x:f>'原始月度'!C296*1000</x:f>
        <x:v>29123330.62</x:v>
      </x:c>
      <x:c r="C296" s="11" t="str">
        <x:f>IF('原始月度'!D296=0,"",'原始月度'!D296*1000)</x:f>
      </x:c>
      <x:c r="D296" s="9" t="n">
        <x:f>'原始月度'!E296*1000</x:f>
        <x:v>52069135.300000004</x:v>
      </x:c>
      <x:c r="E296" s="9" t="n">
        <x:f>IF(ISNUMBER('原始月度'!F296),'原始月度'!F296*1000,"")</x:f>
        <x:v>59017238</x:v>
      </x:c>
      <x:c r="F296" s="9" t="str">
        <x:f>IF(ISNUMBER('原始月度'!G296),'原始月度'!G296,"")</x:f>
      </x:c>
      <x:c r="G296" s="12" t="str">
        <x:v>原报零值待核实</x:v>
      </x:c>
      <x:c r="H296" s="6" t="str">
        <x:v>原报值</x:v>
      </x:c>
      <x:c r="I296" s="6" t="str">
        <x:v>未取得月度量</x:v>
      </x:c>
    </x:row>
    <x:row r="297" ht="25" customHeight="1">
      <x:c r="A297" s="8" t="d">
        <x:v>2025-08-01T00:00:00.000Z</x:v>
      </x:c>
      <x:c r="B297" s="10" t="n">
        <x:f>'原始月度'!C297*1000</x:f>
        <x:v>22170338.169999998</x:v>
      </x:c>
      <x:c r="C297" s="11" t="str">
        <x:f>IF('原始月度'!D297=0,"",'原始月度'!D297*1000)</x:f>
      </x:c>
      <x:c r="D297" s="10" t="n">
        <x:f>'原始月度'!E297*1000</x:f>
        <x:v>36384617.599999994</x:v>
      </x:c>
      <x:c r="E297" s="10" t="n">
        <x:f>IF(ISNUMBER('原始月度'!F297),'原始月度'!F297*1000,"")</x:f>
        <x:v>43971222.91</x:v>
      </x:c>
      <x:c r="F297" s="10" t="str">
        <x:f>IF(ISNUMBER('原始月度'!G297),'原始月度'!G297,"")</x:f>
      </x:c>
      <x:c r="G297" s="12" t="str">
        <x:v>原报零值待核实</x:v>
      </x:c>
      <x:c r="H297" s="2" t="str">
        <x:v>原报值</x:v>
      </x:c>
      <x:c r="I297" s="2" t="str">
        <x:v>未取得月度量</x:v>
      </x:c>
    </x:row>
    <x:row r="298" ht="25" customHeight="1">
      <x:c r="A298" s="7" t="d">
        <x:v>2025-09-01T00:00:00.000Z</x:v>
      </x:c>
      <x:c r="B298" s="9" t="n">
        <x:f>'原始月度'!C298*1000</x:f>
        <x:v>36548543.230000004</x:v>
      </x:c>
      <x:c r="C298" s="11" t="str">
        <x:f>IF('原始月度'!D298=0,"",'原始月度'!D298*1000)</x:f>
      </x:c>
      <x:c r="D298" s="9" t="n">
        <x:f>'原始月度'!E298*1000</x:f>
        <x:v>46734958.25</x:v>
      </x:c>
      <x:c r="E298" s="9" t="n">
        <x:f>IF(ISNUMBER('原始月度'!F298),'原始月度'!F298*1000,"")</x:f>
        <x:v>70859364.52</x:v>
      </x:c>
      <x:c r="F298" s="9" t="str">
        <x:f>IF(ISNUMBER('原始月度'!G298),'原始月度'!G298,"")</x:f>
      </x:c>
      <x:c r="G298" s="12" t="str">
        <x:v>原报零值待核实</x:v>
      </x:c>
      <x:c r="H298" s="6" t="str">
        <x:v>原报值</x:v>
      </x:c>
      <x:c r="I298" s="6" t="str">
        <x:v>未取得月度量</x:v>
      </x:c>
    </x:row>
    <x:row r="299" ht="25" customHeight="1">
      <x:c r="A299" s="8" t="d">
        <x:v>2025-10-01T00:00:00.000Z</x:v>
      </x:c>
      <x:c r="B299" s="10" t="n">
        <x:f>'原始月度'!C299*1000</x:f>
        <x:v>11417338.110000001</x:v>
      </x:c>
      <x:c r="C299" s="11" t="str">
        <x:f>IF('原始月度'!D299=0,"",'原始月度'!D299*1000)</x:f>
      </x:c>
      <x:c r="D299" s="10" t="n">
        <x:f>'原始月度'!E299*1000</x:f>
        <x:v>30085999.73</x:v>
      </x:c>
      <x:c r="E299" s="10" t="n">
        <x:f>IF(ISNUMBER('原始月度'!F299),'原始月度'!F299*1000,"")</x:f>
        <x:v>62885561.029999994</x:v>
      </x:c>
      <x:c r="F299" s="10" t="str">
        <x:f>IF(ISNUMBER('原始月度'!G299),'原始月度'!G299,"")</x:f>
      </x:c>
      <x:c r="G299" s="12" t="str">
        <x:v>原报零值待核实</x:v>
      </x:c>
      <x:c r="H299" s="2" t="str">
        <x:v>原报值</x:v>
      </x:c>
      <x:c r="I299" s="2" t="str">
        <x:v>未取得月度量</x:v>
      </x:c>
    </x:row>
    <x:row r="300" ht="25" customHeight="1">
      <x:c r="A300" s="7" t="d">
        <x:v>2025-11-01T00:00:00.000Z</x:v>
      </x:c>
      <x:c r="B300" s="9" t="n">
        <x:f>'原始月度'!C300*1000</x:f>
        <x:v>34838630.7</x:v>
      </x:c>
      <x:c r="C300" s="11" t="str">
        <x:f>IF('原始月度'!D300=0,"",'原始月度'!D300*1000)</x:f>
      </x:c>
      <x:c r="D300" s="9" t="n">
        <x:f>'原始月度'!E300*1000</x:f>
        <x:v>48599340.74</x:v>
      </x:c>
      <x:c r="E300" s="9" t="n">
        <x:f>IF(ISNUMBER('原始月度'!F300),'原始月度'!F300*1000,"")</x:f>
        <x:v>104529015.7</x:v>
      </x:c>
      <x:c r="F300" s="9" t="str">
        <x:f>IF(ISNUMBER('原始月度'!G300),'原始月度'!G300,"")</x:f>
      </x:c>
      <x:c r="G300" s="12" t="str">
        <x:v>原报零值待核实</x:v>
      </x:c>
      <x:c r="H300" s="6" t="str">
        <x:v>原报值</x:v>
      </x:c>
      <x:c r="I300" s="6" t="str">
        <x:v>未取得月度量</x:v>
      </x:c>
    </x:row>
    <x:row r="301" ht="25" customHeight="1">
      <x:c r="A301" s="8" t="d">
        <x:v>2025-12-01T00:00:00.000Z</x:v>
      </x:c>
      <x:c r="B301" s="10" t="n">
        <x:f>'原始月度'!C301*1000</x:f>
        <x:v>44430605.49</x:v>
      </x:c>
      <x:c r="C301" s="11" t="str">
        <x:f>IF('原始月度'!D301=0,"",'原始月度'!D301*1000)</x:f>
      </x:c>
      <x:c r="D301" s="10" t="n">
        <x:f>'原始月度'!E301*1000</x:f>
        <x:v>39268763.160000004</x:v>
      </x:c>
      <x:c r="E301" s="10" t="n">
        <x:f>IF(ISNUMBER('原始月度'!F301),'原始月度'!F301*1000,"")</x:f>
        <x:v>93990798.62</x:v>
      </x:c>
      <x:c r="F301" s="10" t="str">
        <x:f>IF(ISNUMBER('原始月度'!G301),'原始月度'!G301,"")</x:f>
      </x:c>
      <x:c r="G301" s="12" t="str">
        <x:v>原报零值待核实</x:v>
      </x:c>
      <x:c r="H301" s="2" t="str">
        <x:v>原报值</x:v>
      </x:c>
      <x:c r="I301" s="2" t="str">
        <x:v>未取得月度量</x:v>
      </x:c>
    </x:row>
    <x:row r="302" ht="25" customHeight="1">
      <x:c r="A302" s="7" t="d">
        <x:v>2026-01-01T00:00:00.000Z</x:v>
      </x:c>
      <x:c r="B302" s="9" t="n">
        <x:f>'原始月度'!C302*1000</x:f>
        <x:v>31213595.270000003</x:v>
      </x:c>
      <x:c r="C302" s="11" t="str">
        <x:f>IF('原始月度'!D302=0,"",'原始月度'!D302*1000)</x:f>
      </x:c>
      <x:c r="D302" s="9" t="n">
        <x:f>'原始月度'!E302*1000</x:f>
        <x:v>33525136.37</x:v>
      </x:c>
      <x:c r="E302" s="9" t="n">
        <x:f>IF(ISNUMBER('原始月度'!F302),'原始月度'!F302*1000,"")</x:f>
        <x:v>101894733.39999999</x:v>
      </x:c>
      <x:c r="F302" s="9" t="str">
        <x:f>IF(ISNUMBER('原始月度'!G302),'原始月度'!G302,"")</x:f>
      </x:c>
      <x:c r="G302" s="12" t="str">
        <x:v>原报零值待核实</x:v>
      </x:c>
      <x:c r="H302" s="6" t="str">
        <x:v>原报值</x:v>
      </x:c>
      <x:c r="I302" s="6" t="str">
        <x:v>未取得月度量</x:v>
      </x:c>
    </x:row>
    <x:row r="303" ht="25" customHeight="1">
      <x:c r="A303" s="8" t="d">
        <x:v>2026-02-01T00:00:00.000Z</x:v>
      </x:c>
      <x:c r="B303" s="10" t="n">
        <x:f>'原始月度'!C303*1000</x:f>
        <x:v>17787452.03</x:v>
      </x:c>
      <x:c r="C303" s="11" t="str">
        <x:f>IF('原始月度'!D303=0,"",'原始月度'!D303*1000)</x:f>
      </x:c>
      <x:c r="D303" s="10" t="n">
        <x:f>'原始月度'!E303*1000</x:f>
        <x:v>37825571.82</x:v>
      </x:c>
      <x:c r="E303" s="10" t="n">
        <x:f>IF(ISNUMBER('原始月度'!F303),'原始月度'!F303*1000,"")</x:f>
        <x:v>97558935.27</x:v>
      </x:c>
      <x:c r="F303" s="10" t="str">
        <x:f>IF(ISNUMBER('原始月度'!G303),'原始月度'!G303,"")</x:f>
      </x:c>
      <x:c r="G303" s="12" t="str">
        <x:v>原报零值待核实</x:v>
      </x:c>
      <x:c r="H303" s="2" t="str">
        <x:v>原报值</x:v>
      </x:c>
      <x:c r="I303" s="2" t="str">
        <x:v>未取得月度量</x:v>
      </x:c>
    </x:row>
    <x:row r="304" ht="25" customHeight="1">
      <x:c r="A304" s="7" t="d">
        <x:v>2026-03-01T00:00:00.000Z</x:v>
      </x:c>
      <x:c r="B304" s="9" t="n">
        <x:f>'原始月度'!C304*1000</x:f>
        <x:v>42486952.33</x:v>
      </x:c>
      <x:c r="C304" s="11" t="str">
        <x:f>IF('原始月度'!D304=0,"",'原始月度'!D304*1000)</x:f>
      </x:c>
      <x:c r="D304" s="9" t="n">
        <x:f>'原始月度'!E304*1000</x:f>
        <x:v>44514385.309999995</x:v>
      </x:c>
      <x:c r="E304" s="9" t="n">
        <x:f>IF(ISNUMBER('原始月度'!F304),'原始月度'!F304*1000,"")</x:f>
        <x:v>91861630.24</x:v>
      </x:c>
      <x:c r="F304" s="9" t="str">
        <x:f>IF(ISNUMBER('原始月度'!G304),'原始月度'!G304,"")</x:f>
      </x:c>
      <x:c r="G304" s="12" t="str">
        <x:v>原报零值待核实</x:v>
      </x:c>
      <x:c r="H304" s="6" t="str">
        <x:v>原报值</x:v>
      </x:c>
      <x:c r="I304" s="6" t="str">
        <x:v>未取得月度量</x:v>
      </x:c>
    </x:row>
    <x:row r="305" ht="25" customHeight="1">
      <x:c r="A305" s="8" t="d">
        <x:v>2026-04-01T00:00:00.000Z</x:v>
      </x:c>
      <x:c r="B305" s="10" t="n">
        <x:f>'原始月度'!C305*1000</x:f>
        <x:v>17892081.279999997</x:v>
      </x:c>
      <x:c r="C305" s="11" t="str">
        <x:f>IF('原始月度'!D305=0,"",'原始月度'!D305*1000)</x:f>
      </x:c>
      <x:c r="D305" s="10" t="n">
        <x:f>'原始月度'!E305*1000</x:f>
        <x:v>67156728.33</x:v>
      </x:c>
      <x:c r="E305" s="10" t="n">
        <x:f>IF(ISNUMBER('原始月度'!F305),'原始月度'!F305*1000,"")</x:f>
        <x:v>84222265.67999999</x:v>
      </x:c>
      <x:c r="F305" s="10" t="str">
        <x:f>IF(ISNUMBER('原始月度'!G305),'原始月度'!G305,"")</x:f>
      </x:c>
      <x:c r="G305" s="12" t="str">
        <x:v>原报零值待核实</x:v>
      </x:c>
      <x:c r="H305" s="2" t="str">
        <x:v>原报值</x:v>
      </x:c>
      <x:c r="I305" s="2" t="str">
        <x:v>未取得月度量</x:v>
      </x:c>
    </x:row>
    <x:row r="306" ht="25" customHeight="1">
      <x:c r="A306" s="7" t="d">
        <x:v>2026-05-01T00:00:00.000Z</x:v>
      </x:c>
      <x:c r="B306" s="9" t="n">
        <x:f>'原始月度'!C306*1000</x:f>
        <x:v>37968347.68</x:v>
      </x:c>
      <x:c r="C306" s="11" t="str">
        <x:f>IF('原始月度'!D306=0,"",'原始月度'!D306*1000)</x:f>
      </x:c>
      <x:c r="D306" s="9" t="n">
        <x:f>'原始月度'!E306*1000</x:f>
        <x:v>64749722.83</x:v>
      </x:c>
      <x:c r="E306" s="9" t="n">
        <x:f>IF(ISNUMBER('原始月度'!F306),'原始月度'!F306*1000,"")</x:f>
        <x:v>102082173.7</x:v>
      </x:c>
      <x:c r="F306" s="9" t="str">
        <x:f>IF(ISNUMBER('原始月度'!G306),'原始月度'!G306,"")</x:f>
      </x:c>
      <x:c r="G306" s="12" t="str">
        <x:v>原报零值待核实</x:v>
      </x:c>
      <x:c r="H306" s="6" t="str">
        <x:v>原报值</x:v>
      </x:c>
      <x:c r="I306" s="6" t="str">
        <x:v>未取得月度量</x:v>
      </x:c>
    </x:row>
    <x:row r="307" ht="25" customHeight="1">
      <x:c r="A307" s="8" t="d">
        <x:v>2026-06-01T00:00:00.000Z</x:v>
      </x:c>
      <x:c r="B307" s="10" t="n">
        <x:f>'原始月度'!C307*1000</x:f>
        <x:v>17818605.95</x:v>
      </x:c>
      <x:c r="C307" s="11" t="str">
        <x:f>IF('原始月度'!D307=0,"",'原始月度'!D307*1000)</x:f>
      </x:c>
      <x:c r="D307" s="10" t="n">
        <x:f>'原始月度'!E307*1000</x:f>
        <x:v>85492599.91000001</x:v>
      </x:c>
      <x:c r="E307" s="10" t="n">
        <x:f>IF(ISNUMBER('原始月度'!F307),'原始月度'!F307*1000,"")</x:f>
        <x:v>106948989.8</x:v>
      </x:c>
      <x:c r="F307" s="10" t="str">
        <x:f>IF(ISNUMBER('原始月度'!G307),'原始月度'!G307,"")</x:f>
      </x:c>
      <x:c r="G307" s="12" t="str">
        <x:v>原报零值待核实</x:v>
      </x:c>
      <x:c r="H307" s="2" t="str">
        <x:v>原报值</x:v>
      </x:c>
      <x:c r="I307" s="2" t="str">
        <x:v>未取得月度量</x:v>
      </x:c>
    </x:row>
  </x:sheetData>
  <x:pageMargins left="0.7" right="0.7" top="0.75" bottom="0.75" header="0.3" footer="0.3"/>
  <x:tableParts count="1">
    <x:tablePart xmlns:r="http://schemas.openxmlformats.org/officeDocument/2006/relationships" r:id="R3c9ecdcb64024f05"/>
  </x:tableParts>
</x:worksheet>
</file>

<file path=xl/worksheets/sheet3.xml><?xml version="1.0" encoding="utf-8"?>
<x:worksheet xmlns:x="http://schemas.openxmlformats.org/spreadsheetml/2006/main">
  <x:sheetPr>
    <x:tabColor rgb="FF006D7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6" hidden="0" customWidth="1"/>
    <x:col min="5" max="5" width="24" hidden="0" customWidth="1"/>
    <x:col min="6" max="6" width="23" hidden="0" customWidth="1"/>
    <x:col min="7" max="7" width="28" hidden="0" customWidth="1"/>
    <x:col min="8" max="8" width="16" hidden="0" customWidth="1"/>
    <x:col min="9" max="9" width="20" hidden="0" customWidth="1"/>
    <x:col min="10" max="10" width="62" hidden="0" customWidth="1"/>
  </x:cols>
  <x:sheetData>
    <x:row r="1" ht="46" customHeight="1">
      <x:c r="A1" s="5" t="str">
        <x:v>年份</x:v>
      </x:c>
      <x:c r="B1" s="5" t="str">
        <x:v>期间开始</x:v>
      </x:c>
      <x:c r="C1" s="5" t="str">
        <x:v>期间结束</x:v>
      </x:c>
      <x:c r="D1" s="5" t="str">
        <x:v>食品覆盖月数</x:v>
      </x:c>
      <x:c r="E1" s="5" t="str">
        <x:v>食品整体进口额
美元</x:v>
      </x:c>
      <x:c r="F1" s="5" t="str">
        <x:v>燃油进口额
美元</x:v>
      </x:c>
      <x:c r="G1" s="5" t="str">
        <x:v>矿物燃料及润滑油进口额
美元</x:v>
      </x:c>
      <x:c r="H1" s="5" t="str">
        <x:v>燃油可用月数</x:v>
      </x:c>
      <x:c r="I1" s="5" t="str">
        <x:v>期间口径</x:v>
      </x:c>
      <x:c r="J1" s="5" t="str">
        <x:v>备注</x:v>
      </x:c>
    </x:row>
    <x:row r="2" ht="36" customHeight="1">
      <x:c r="A2" s="6" t="n">
        <x:v>2001</x:v>
      </x:c>
      <x:c r="B2" s="13" t="d">
        <x:v>2001-01-01T00:00:00.000Z</x:v>
      </x:c>
      <x:c r="C2" s="13" t="d">
        <x:v>2001-12-31T00:00:00.000Z</x:v>
      </x:c>
      <x:c r="D2" s="6" t="n">
        <x:f>COUNT('月度数据'!B2:B13)</x:f>
        <x:v>12</x:v>
      </x:c>
      <x:c r="E2" s="9" t="n">
        <x:f>SUM('月度数据'!B2:B13)</x:f>
        <x:v>51917000</x:v>
      </x:c>
      <x:c r="F2" s="9" t="n">
        <x:f>IF(COUNT('月度数据'!C2:C13)=D2,SUM('月度数据'!C2:C13),"")</x:f>
        <x:v>37468890</x:v>
      </x:c>
      <x:c r="G2" s="9" t="n">
        <x:f>SUM('月度数据'!D2:D13)</x:f>
        <x:v>43334800</x:v>
      </x:c>
      <x:c r="H2" s="6" t="n">
        <x:f>COUNT('月度数据'!C2:C13)</x:f>
        <x:v>12</x:v>
      </x:c>
      <x:c r="I2" s="6" t="str">
        <x:v>全年</x:v>
      </x:c>
      <x:c r="J2" s="15" t="str">
        <x:v>燃油分项与广义燃料系列存在统计口径或修订差异</x:v>
      </x:c>
    </x:row>
    <x:row r="3" ht="36" customHeight="1">
      <x:c r="A3" s="2" t="n">
        <x:v>2002</x:v>
      </x:c>
      <x:c r="B3" s="14" t="d">
        <x:v>2002-01-01T00:00:00.000Z</x:v>
      </x:c>
      <x:c r="C3" s="14" t="d">
        <x:v>2002-12-31T00:00:00.000Z</x:v>
      </x:c>
      <x:c r="D3" s="2" t="n">
        <x:f>COUNT('月度数据'!B14:B25)</x:f>
        <x:v>12</x:v>
      </x:c>
      <x:c r="E3" s="10" t="n">
        <x:f>SUM('月度数据'!B14:B25)</x:f>
        <x:v>70783200</x:v>
      </x:c>
      <x:c r="F3" s="10" t="n">
        <x:f>IF(COUNT('月度数据'!C14:C25)=D3,SUM('月度数据'!C14:C25),"")</x:f>
        <x:v>44781600</x:v>
      </x:c>
      <x:c r="G3" s="10" t="n">
        <x:f>SUM('月度数据'!D14:D25)</x:f>
        <x:v>51728900</x:v>
      </x:c>
      <x:c r="H3" s="2" t="n">
        <x:f>COUNT('月度数据'!C14:C25)</x:f>
        <x:v>12</x:v>
      </x:c>
      <x:c r="I3" s="2" t="str">
        <x:v>全年</x:v>
      </x:c>
      <x:c r="J3" s="16" t="str">
        <x:v>燃油分项与广义燃料系列存在统计口径或修订差异</x:v>
      </x:c>
    </x:row>
    <x:row r="4" ht="36" customHeight="1">
      <x:c r="A4" s="6" t="n">
        <x:v>2003</x:v>
      </x:c>
      <x:c r="B4" s="13" t="d">
        <x:v>2003-01-01T00:00:00.000Z</x:v>
      </x:c>
      <x:c r="C4" s="13" t="d">
        <x:v>2003-12-31T00:00:00.000Z</x:v>
      </x:c>
      <x:c r="D4" s="6" t="n">
        <x:f>COUNT('月度数据'!B26:B37)</x:f>
        <x:v>12</x:v>
      </x:c>
      <x:c r="E4" s="9" t="n">
        <x:f>SUM('月度数据'!B26:B37)</x:f>
        <x:v>74510800</x:v>
      </x:c>
      <x:c r="F4" s="9" t="n">
        <x:f>IF(COUNT('月度数据'!C26:C37)=D4,SUM('月度数据'!C26:C37),"")</x:f>
        <x:v>59987270</x:v>
      </x:c>
      <x:c r="G4" s="9" t="n">
        <x:f>SUM('月度数据'!D26:D37)</x:f>
        <x:v>78211200</x:v>
      </x:c>
      <x:c r="H4" s="6" t="n">
        <x:f>COUNT('月度数据'!C26:C37)</x:f>
        <x:v>12</x:v>
      </x:c>
      <x:c r="I4" s="6" t="str">
        <x:v>全年</x:v>
      </x:c>
      <x:c r="J4" s="15" t="str">
        <x:v>燃油分项与广义燃料系列存在统计口径或修订差异</x:v>
      </x:c>
    </x:row>
    <x:row r="5" ht="36" customHeight="1">
      <x:c r="A5" s="2" t="n">
        <x:v>2004</x:v>
      </x:c>
      <x:c r="B5" s="14" t="d">
        <x:v>2004-01-01T00:00:00.000Z</x:v>
      </x:c>
      <x:c r="C5" s="14" t="d">
        <x:v>2004-12-31T00:00:00.000Z</x:v>
      </x:c>
      <x:c r="D5" s="2" t="n">
        <x:f>COUNT('月度数据'!B38:B49)</x:f>
        <x:v>12</x:v>
      </x:c>
      <x:c r="E5" s="10" t="n">
        <x:f>SUM('月度数据'!B38:B49)</x:f>
        <x:v>57058500</x:v>
      </x:c>
      <x:c r="F5" s="10" t="n">
        <x:f>IF(COUNT('月度数据'!C38:C49)=D5,SUM('月度数据'!C38:C49),"")</x:f>
        <x:v>68365580</x:v>
      </x:c>
      <x:c r="G5" s="10" t="n">
        <x:f>SUM('月度数据'!D38:D49)</x:f>
        <x:v>94865600</x:v>
      </x:c>
      <x:c r="H5" s="2" t="n">
        <x:f>COUNT('月度数据'!C38:C49)</x:f>
        <x:v>12</x:v>
      </x:c>
      <x:c r="I5" s="2" t="str">
        <x:v>全年</x:v>
      </x:c>
      <x:c r="J5" s="16" t="str">
        <x:v>燃油分项与广义燃料系列存在统计口径或修订差异</x:v>
      </x:c>
    </x:row>
    <x:row r="6" ht="36" customHeight="1">
      <x:c r="A6" s="6" t="n">
        <x:v>2005</x:v>
      </x:c>
      <x:c r="B6" s="13" t="d">
        <x:v>2005-01-01T00:00:00.000Z</x:v>
      </x:c>
      <x:c r="C6" s="13" t="d">
        <x:v>2005-12-31T00:00:00.000Z</x:v>
      </x:c>
      <x:c r="D6" s="6" t="n">
        <x:f>COUNT('月度数据'!B50:B61)</x:f>
        <x:v>12</x:v>
      </x:c>
      <x:c r="E6" s="9" t="n">
        <x:f>SUM('月度数据'!B50:B61)</x:f>
        <x:v>53115300</x:v>
      </x:c>
      <x:c r="F6" s="9" t="n">
        <x:f>IF(COUNT('月度数据'!C50:C61)=D6,SUM('月度数据'!C50:C61),"")</x:f>
        <x:v>85423370</x:v>
      </x:c>
      <x:c r="G6" s="9" t="n">
        <x:f>SUM('月度数据'!D50:D61)</x:f>
        <x:v>115597000</x:v>
      </x:c>
      <x:c r="H6" s="6" t="n">
        <x:f>COUNT('月度数据'!C50:C61)</x:f>
        <x:v>12</x:v>
      </x:c>
      <x:c r="I6" s="6" t="str">
        <x:v>全年</x:v>
      </x:c>
      <x:c r="J6" s="15" t="str">
        <x:v>燃油分项与广义燃料系列存在统计口径或修订差异</x:v>
      </x:c>
    </x:row>
    <x:row r="7" ht="36" customHeight="1">
      <x:c r="A7" s="2" t="n">
        <x:v>2006</x:v>
      </x:c>
      <x:c r="B7" s="14" t="d">
        <x:v>2006-01-01T00:00:00.000Z</x:v>
      </x:c>
      <x:c r="C7" s="14" t="d">
        <x:v>2006-12-31T00:00:00.000Z</x:v>
      </x:c>
      <x:c r="D7" s="2" t="n">
        <x:f>COUNT('月度数据'!B62:B73)</x:f>
        <x:v>12</x:v>
      </x:c>
      <x:c r="E7" s="10" t="n">
        <x:f>SUM('月度数据'!B62:B73)</x:f>
        <x:v>56139900</x:v>
      </x:c>
      <x:c r="F7" s="10" t="n">
        <x:f>IF(COUNT('月度数据'!C62:C73)=D7,SUM('月度数据'!C62:C73),"")</x:f>
        <x:v>123277940</x:v>
      </x:c>
      <x:c r="G7" s="10" t="n">
        <x:f>SUM('月度数据'!D62:D73)</x:f>
        <x:v>147080400</x:v>
      </x:c>
      <x:c r="H7" s="2" t="n">
        <x:f>COUNT('月度数据'!C62:C73)</x:f>
        <x:v>12</x:v>
      </x:c>
      <x:c r="I7" s="2" t="str">
        <x:v>全年</x:v>
      </x:c>
      <x:c r="J7" s="16" t="str">
        <x:v>燃油分项与广义燃料系列存在统计口径或修订差异</x:v>
      </x:c>
    </x:row>
    <x:row r="8" ht="36" customHeight="1">
      <x:c r="A8" s="6" t="n">
        <x:v>2007</x:v>
      </x:c>
      <x:c r="B8" s="13" t="d">
        <x:v>2007-01-01T00:00:00.000Z</x:v>
      </x:c>
      <x:c r="C8" s="13" t="d">
        <x:v>2007-12-31T00:00:00.000Z</x:v>
      </x:c>
      <x:c r="D8" s="6" t="n">
        <x:f>COUNT('月度数据'!B74:B85)</x:f>
        <x:v>12</x:v>
      </x:c>
      <x:c r="E8" s="9" t="n">
        <x:f>SUM('月度数据'!B74:B85)</x:f>
        <x:v>67948600</x:v>
      </x:c>
      <x:c r="F8" s="9" t="n">
        <x:f>IF(COUNT('月度数据'!C74:C85)=D8,SUM('月度数据'!C74:C85),"")</x:f>
        <x:v>121537810</x:v>
      </x:c>
      <x:c r="G8" s="9" t="n">
        <x:f>SUM('月度数据'!D74:D85)</x:f>
        <x:v>168576500</x:v>
      </x:c>
      <x:c r="H8" s="6" t="n">
        <x:f>COUNT('月度数据'!C74:C85)</x:f>
        <x:v>12</x:v>
      </x:c>
      <x:c r="I8" s="6" t="str">
        <x:v>全年</x:v>
      </x:c>
      <x:c r="J8" s="15" t="str">
        <x:v>燃油分项与广义燃料系列存在统计口径或修订差异</x:v>
      </x:c>
    </x:row>
    <x:row r="9" ht="36" customHeight="1">
      <x:c r="A9" s="2" t="n">
        <x:v>2008</x:v>
      </x:c>
      <x:c r="B9" s="14" t="d">
        <x:v>2008-01-01T00:00:00.000Z</x:v>
      </x:c>
      <x:c r="C9" s="14" t="d">
        <x:v>2008-12-31T00:00:00.000Z</x:v>
      </x:c>
      <x:c r="D9" s="2" t="n">
        <x:f>COUNT('月度数据'!B86:B97)</x:f>
        <x:v>12</x:v>
      </x:c>
      <x:c r="E9" s="10" t="n">
        <x:f>SUM('月度数据'!B86:B97)</x:f>
        <x:v>116083530</x:v>
      </x:c>
      <x:c r="F9" s="10" t="n">
        <x:f>IF(COUNT('月度数据'!C86:C97)=D9,SUM('月度数据'!C86:C97),"")</x:f>
        <x:v>172496300</x:v>
      </x:c>
      <x:c r="G9" s="10" t="n">
        <x:f>SUM('月度数据'!D86:D97)</x:f>
        <x:v>200641760</x:v>
      </x:c>
      <x:c r="H9" s="2" t="n">
        <x:f>COUNT('月度数据'!C86:C97)</x:f>
        <x:v>12</x:v>
      </x:c>
      <x:c r="I9" s="2" t="str">
        <x:v>全年</x:v>
      </x:c>
      <x:c r="J9" s="16" t="str">
        <x:v>燃油分项与广义燃料系列存在统计口径或修订差异</x:v>
      </x:c>
    </x:row>
    <x:row r="10" ht="36" customHeight="1">
      <x:c r="A10" s="6" t="n">
        <x:v>2009</x:v>
      </x:c>
      <x:c r="B10" s="13" t="d">
        <x:v>2009-01-01T00:00:00.000Z</x:v>
      </x:c>
      <x:c r="C10" s="13" t="d">
        <x:v>2009-12-31T00:00:00.000Z</x:v>
      </x:c>
      <x:c r="D10" s="6" t="n">
        <x:f>COUNT('月度数据'!B98:B109)</x:f>
        <x:v>12</x:v>
      </x:c>
      <x:c r="E10" s="9" t="n">
        <x:f>SUM('月度数据'!B98:B109)</x:f>
        <x:v>104509700</x:v>
      </x:c>
      <x:c r="F10" s="9" t="n">
        <x:f>IF(COUNT('月度数据'!C98:C109)=D10,SUM('月度数据'!C98:C109),"")</x:f>
        <x:v>105292600</x:v>
      </x:c>
      <x:c r="G10" s="9" t="n">
        <x:f>SUM('月度数据'!D98:D109)</x:f>
        <x:v>126459400</x:v>
      </x:c>
      <x:c r="H10" s="6" t="n">
        <x:f>COUNT('月度数据'!C98:C109)</x:f>
        <x:v>12</x:v>
      </x:c>
      <x:c r="I10" s="6" t="str">
        <x:v>全年</x:v>
      </x:c>
      <x:c r="J10" s="15" t="str">
        <x:v>燃油分项与广义燃料系列存在统计口径或修订差异</x:v>
      </x:c>
    </x:row>
    <x:row r="11" ht="36" customHeight="1">
      <x:c r="A11" s="2" t="n">
        <x:v>2010</x:v>
      </x:c>
      <x:c r="B11" s="14" t="d">
        <x:v>2010-01-01T00:00:00.000Z</x:v>
      </x:c>
      <x:c r="C11" s="14" t="d">
        <x:v>2010-12-31T00:00:00.000Z</x:v>
      </x:c>
      <x:c r="D11" s="2" t="n">
        <x:f>COUNT('月度数据'!B110:B121)</x:f>
        <x:v>12</x:v>
      </x:c>
      <x:c r="E11" s="10" t="n">
        <x:f>SUM('月度数据'!B110:B121)</x:f>
        <x:v>104894020</x:v>
      </x:c>
      <x:c r="F11" s="10" t="n">
        <x:f>IF(COUNT('月度数据'!C110:C121)=D11,SUM('月度数据'!C110:C121),"")</x:f>
        <x:v>145889660</x:v>
      </x:c>
      <x:c r="G11" s="10" t="n">
        <x:f>SUM('月度数据'!D110:D121)</x:f>
        <x:v>171414210</x:v>
      </x:c>
      <x:c r="H11" s="2" t="n">
        <x:f>COUNT('月度数据'!C110:C121)</x:f>
        <x:v>12</x:v>
      </x:c>
      <x:c r="I11" s="2" t="str">
        <x:v>全年</x:v>
      </x:c>
      <x:c r="J11" s="16" t="str">
        <x:v>燃油分项与广义燃料系列存在统计口径或修订差异</x:v>
      </x:c>
    </x:row>
    <x:row r="12" ht="36" customHeight="1">
      <x:c r="A12" s="6" t="n">
        <x:v>2011</x:v>
      </x:c>
      <x:c r="B12" s="13" t="d">
        <x:v>2011-01-01T00:00:00.000Z</x:v>
      </x:c>
      <x:c r="C12" s="13" t="d">
        <x:v>2011-12-31T00:00:00.000Z</x:v>
      </x:c>
      <x:c r="D12" s="6" t="n">
        <x:f>COUNT('月度数据'!B122:B133)</x:f>
        <x:v>12</x:v>
      </x:c>
      <x:c r="E12" s="9" t="n">
        <x:f>SUM('月度数据'!B122:B133)</x:f>
        <x:v>245883520</x:v>
      </x:c>
      <x:c r="F12" s="9" t="n">
        <x:f>IF(COUNT('月度数据'!C122:C133)=D12,SUM('月度数据'!C122:C133),"")</x:f>
        <x:v>243703660</x:v>
      </x:c>
      <x:c r="G12" s="9" t="n">
        <x:f>SUM('月度数据'!D122:D133)</x:f>
        <x:v>275758190</x:v>
      </x:c>
      <x:c r="H12" s="6" t="n">
        <x:f>COUNT('月度数据'!C122:C133)</x:f>
        <x:v>12</x:v>
      </x:c>
      <x:c r="I12" s="6" t="str">
        <x:v>全年</x:v>
      </x:c>
      <x:c r="J12" s="15" t="str">
        <x:v>燃油分项与广义燃料系列存在统计口径或修订差异</x:v>
      </x:c>
    </x:row>
    <x:row r="13" ht="36" customHeight="1">
      <x:c r="A13" s="2" t="n">
        <x:v>2012</x:v>
      </x:c>
      <x:c r="B13" s="14" t="d">
        <x:v>2012-01-01T00:00:00.000Z</x:v>
      </x:c>
      <x:c r="C13" s="14" t="d">
        <x:v>2012-12-31T00:00:00.000Z</x:v>
      </x:c>
      <x:c r="D13" s="2" t="n">
        <x:f>COUNT('月度数据'!B134:B145)</x:f>
        <x:v>12</x:v>
      </x:c>
      <x:c r="E13" s="10" t="n">
        <x:f>SUM('月度数据'!B134:B145)</x:f>
        <x:v>306046990</x:v>
      </x:c>
      <x:c r="F13" s="10" t="n">
        <x:f>IF(COUNT('月度数据'!C134:C145)=D13,SUM('月度数据'!C134:C145),"")</x:f>
        <x:v>289752900</x:v>
      </x:c>
      <x:c r="G13" s="10" t="n">
        <x:f>SUM('月度数据'!D134:D145)</x:f>
        <x:v>346570770</x:v>
      </x:c>
      <x:c r="H13" s="2" t="n">
        <x:f>COUNT('月度数据'!C134:C145)</x:f>
        <x:v>12</x:v>
      </x:c>
      <x:c r="I13" s="2" t="str">
        <x:v>全年</x:v>
      </x:c>
      <x:c r="J13" s="16" t="str">
        <x:v>燃油分项与广义燃料系列存在统计口径或修订差异</x:v>
      </x:c>
    </x:row>
    <x:row r="14" ht="36" customHeight="1">
      <x:c r="A14" s="6" t="n">
        <x:v>2013</x:v>
      </x:c>
      <x:c r="B14" s="13" t="d">
        <x:v>2013-01-01T00:00:00.000Z</x:v>
      </x:c>
      <x:c r="C14" s="13" t="d">
        <x:v>2013-12-31T00:00:00.000Z</x:v>
      </x:c>
      <x:c r="D14" s="6" t="n">
        <x:f>COUNT('月度数据'!B146:B157)</x:f>
        <x:v>12</x:v>
      </x:c>
      <x:c r="E14" s="9" t="n">
        <x:f>SUM('月度数据'!B146:B157)</x:f>
        <x:v>357815140</x:v>
      </x:c>
      <x:c r="F14" s="9" t="n">
        <x:f>IF(COUNT('月度数据'!C146:C157)=D14,SUM('月度数据'!C146:C157),"")</x:f>
        <x:v>376071960</x:v>
      </x:c>
      <x:c r="G14" s="9" t="n">
        <x:f>SUM('月度数据'!D146:D157)</x:f>
        <x:v>415970370</x:v>
      </x:c>
      <x:c r="H14" s="6" t="n">
        <x:f>COUNT('月度数据'!C146:C157)</x:f>
        <x:v>12</x:v>
      </x:c>
      <x:c r="I14" s="6" t="str">
        <x:v>全年</x:v>
      </x:c>
      <x:c r="J14" s="15" t="str">
        <x:v>燃油分项与广义燃料系列存在统计口径或修订差异</x:v>
      </x:c>
    </x:row>
    <x:row r="15" ht="36" customHeight="1">
      <x:c r="A15" s="2" t="n">
        <x:v>2014</x:v>
      </x:c>
      <x:c r="B15" s="14" t="d">
        <x:v>2014-01-01T00:00:00.000Z</x:v>
      </x:c>
      <x:c r="C15" s="14" t="d">
        <x:v>2014-12-31T00:00:00.000Z</x:v>
      </x:c>
      <x:c r="D15" s="2" t="n">
        <x:f>COUNT('月度数据'!B158:B169)</x:f>
        <x:v>12</x:v>
      </x:c>
      <x:c r="E15" s="10" t="n">
        <x:f>SUM('月度数据'!B158:B169)</x:f>
        <x:v>336694660</x:v>
      </x:c>
      <x:c r="F15" s="10" t="n">
        <x:f>IF(COUNT('月度数据'!C158:C169)=D15,SUM('月度数据'!C158:C169),"")</x:f>
        <x:v>451827930</x:v>
      </x:c>
      <x:c r="G15" s="10" t="n">
        <x:f>SUM('月度数据'!D158:D169)</x:f>
        <x:v>489755670</x:v>
      </x:c>
      <x:c r="H15" s="2" t="n">
        <x:f>COUNT('月度数据'!C158:C169)</x:f>
        <x:v>12</x:v>
      </x:c>
      <x:c r="I15" s="2" t="str">
        <x:v>全年</x:v>
      </x:c>
      <x:c r="J15" s="16" t="str">
        <x:v>燃油分项与广义燃料系列存在统计口径或修订差异</x:v>
      </x:c>
    </x:row>
    <x:row r="16" ht="36" customHeight="1">
      <x:c r="A16" s="6" t="n">
        <x:v>2015</x:v>
      </x:c>
      <x:c r="B16" s="13" t="d">
        <x:v>2015-01-01T00:00:00.000Z</x:v>
      </x:c>
      <x:c r="C16" s="13" t="d">
        <x:v>2015-12-31T00:00:00.000Z</x:v>
      </x:c>
      <x:c r="D16" s="6" t="n">
        <x:f>COUNT('月度数据'!B170:B181)</x:f>
        <x:v>12</x:v>
      </x:c>
      <x:c r="E16" s="9" t="n">
        <x:f>SUM('月度数据'!B170:B181)</x:f>
        <x:v>527864170</x:v>
      </x:c>
      <x:c r="F16" s="9" t="n">
        <x:f>IF(COUNT('月度数据'!C170:C181)=D16,SUM('月度数据'!C170:C181),"")</x:f>
        <x:v>245481370</x:v>
      </x:c>
      <x:c r="G16" s="9" t="n">
        <x:f>SUM('月度数据'!D170:D181)</x:f>
        <x:v>277957720</x:v>
      </x:c>
      <x:c r="H16" s="6" t="n">
        <x:f>COUNT('月度数据'!C170:C181)</x:f>
        <x:v>12</x:v>
      </x:c>
      <x:c r="I16" s="6" t="str">
        <x:v>全年</x:v>
      </x:c>
      <x:c r="J16" s="15" t="str">
        <x:v>燃油分项与广义燃料系列存在统计口径或修订差异</x:v>
      </x:c>
    </x:row>
    <x:row r="17" ht="36" customHeight="1">
      <x:c r="A17" s="2" t="n">
        <x:v>2016</x:v>
      </x:c>
      <x:c r="B17" s="14" t="d">
        <x:v>2016-01-01T00:00:00.000Z</x:v>
      </x:c>
      <x:c r="C17" s="14" t="d">
        <x:v>2016-12-31T00:00:00.000Z</x:v>
      </x:c>
      <x:c r="D17" s="2" t="n">
        <x:f>COUNT('月度数据'!B182:B193)</x:f>
        <x:v>12</x:v>
      </x:c>
      <x:c r="E17" s="10" t="n">
        <x:f>SUM('月度数据'!B182:B193)</x:f>
        <x:v>294468700</x:v>
      </x:c>
      <x:c r="F17" s="10" t="n">
        <x:f>IF(COUNT('月度数据'!C182:C193)=D17,SUM('月度数据'!C182:C193),"")</x:f>
        <x:v>176648010</x:v>
      </x:c>
      <x:c r="G17" s="10" t="n">
        <x:f>SUM('月度数据'!D182:D193)</x:f>
        <x:v>163383020</x:v>
      </x:c>
      <x:c r="H17" s="2" t="n">
        <x:f>COUNT('月度数据'!C182:C193)</x:f>
        <x:v>12</x:v>
      </x:c>
      <x:c r="I17" s="2" t="str">
        <x:v>全年</x:v>
      </x:c>
      <x:c r="J17" s="16" t="str">
        <x:v>燃油分项与广义燃料系列存在统计口径或修订差异</x:v>
      </x:c>
    </x:row>
    <x:row r="18" ht="36" customHeight="1">
      <x:c r="A18" s="6" t="n">
        <x:v>2017</x:v>
      </x:c>
      <x:c r="B18" s="13" t="d">
        <x:v>2017-01-01T00:00:00.000Z</x:v>
      </x:c>
      <x:c r="C18" s="13" t="d">
        <x:v>2017-12-31T00:00:00.000Z</x:v>
      </x:c>
      <x:c r="D18" s="6" t="n">
        <x:f>COUNT('月度数据'!B194:B205)</x:f>
        <x:v>12</x:v>
      </x:c>
      <x:c r="E18" s="9" t="n">
        <x:f>SUM('月度数据'!B194:B205)</x:f>
        <x:v>451845010</x:v>
      </x:c>
      <x:c r="F18" s="9" t="n">
        <x:f>IF(COUNT('月度数据'!C194:C205)=D18,SUM('月度数据'!C194:C205),"")</x:f>
        <x:v>198026060</x:v>
      </x:c>
      <x:c r="G18" s="9" t="n">
        <x:f>SUM('月度数据'!D194:D205)</x:f>
        <x:v>151498250</x:v>
      </x:c>
      <x:c r="H18" s="6" t="n">
        <x:f>COUNT('月度数据'!C194:C205)</x:f>
        <x:v>12</x:v>
      </x:c>
      <x:c r="I18" s="6" t="str">
        <x:v>全年</x:v>
      </x:c>
      <x:c r="J18" s="15" t="str">
        <x:v>燃油分项与广义燃料系列存在统计口径或修订差异</x:v>
      </x:c>
    </x:row>
    <x:row r="19" ht="36" customHeight="1">
      <x:c r="A19" s="2" t="n">
        <x:v>2018</x:v>
      </x:c>
      <x:c r="B19" s="14" t="d">
        <x:v>2018-01-01T00:00:00.000Z</x:v>
      </x:c>
      <x:c r="C19" s="14" t="d">
        <x:v>2018-12-31T00:00:00.000Z</x:v>
      </x:c>
      <x:c r="D19" s="2" t="n">
        <x:f>COUNT('月度数据'!B206:B217)</x:f>
        <x:v>12</x:v>
      </x:c>
      <x:c r="E19" s="10" t="n">
        <x:f>SUM('月度数据'!B206:B217)</x:f>
        <x:v>409347540</x:v>
      </x:c>
      <x:c r="F19" s="10" t="n">
        <x:f>IF(COUNT('月度数据'!C206:C217)=D19,SUM('月度数据'!C206:C217),"")</x:f>
        <x:v>236823620</x:v>
      </x:c>
      <x:c r="G19" s="10" t="n">
        <x:f>SUM('月度数据'!D206:D217)</x:f>
        <x:v>335858670</x:v>
      </x:c>
      <x:c r="H19" s="2" t="n">
        <x:f>COUNT('月度数据'!C206:C217)</x:f>
        <x:v>12</x:v>
      </x:c>
      <x:c r="I19" s="2" t="str">
        <x:v>全年</x:v>
      </x:c>
      <x:c r="J19" s="16" t="str">
        <x:v>燃油分项与广义燃料系列存在统计口径或修订差异</x:v>
      </x:c>
    </x:row>
    <x:row r="20" ht="36" customHeight="1">
      <x:c r="A20" s="6" t="n">
        <x:v>2019</x:v>
      </x:c>
      <x:c r="B20" s="13" t="d">
        <x:v>2019-01-01T00:00:00.000Z</x:v>
      </x:c>
      <x:c r="C20" s="13" t="d">
        <x:v>2019-12-31T00:00:00.000Z</x:v>
      </x:c>
      <x:c r="D20" s="6" t="n">
        <x:f>COUNT('月度数据'!B218:B229)</x:f>
        <x:v>12</x:v>
      </x:c>
      <x:c r="E20" s="9" t="n">
        <x:f>SUM('月度数据'!B218:B229)</x:f>
        <x:v>288290380</x:v>
      </x:c>
      <x:c r="F20" s="9" t="n">
        <x:f>IF(COUNT('月度数据'!C218:C229)=D20,SUM('月度数据'!C218:C229),"")</x:f>
        <x:v>209620690</x:v>
      </x:c>
      <x:c r="G20" s="9" t="n">
        <x:f>SUM('月度数据'!D218:D229)</x:f>
        <x:v>232070160</x:v>
      </x:c>
      <x:c r="H20" s="6" t="n">
        <x:f>COUNT('月度数据'!C218:C229)</x:f>
        <x:v>12</x:v>
      </x:c>
      <x:c r="I20" s="6" t="str">
        <x:v>全年</x:v>
      </x:c>
      <x:c r="J20" s="15" t="str">
        <x:v>燃油分项与广义燃料系列存在统计口径或修订差异</x:v>
      </x:c>
    </x:row>
    <x:row r="21" ht="36" customHeight="1">
      <x:c r="A21" s="2" t="n">
        <x:v>2020</x:v>
      </x:c>
      <x:c r="B21" s="14" t="d">
        <x:v>2020-01-01T00:00:00.000Z</x:v>
      </x:c>
      <x:c r="C21" s="14" t="d">
        <x:v>2020-12-31T00:00:00.000Z</x:v>
      </x:c>
      <x:c r="D21" s="2" t="n">
        <x:f>COUNT('月度数据'!B230:B241)</x:f>
        <x:v>12</x:v>
      </x:c>
      <x:c r="E21" s="10" t="n">
        <x:f>SUM('月度数据'!B230:B241)</x:f>
        <x:v>452030410</x:v>
      </x:c>
      <x:c r="F21" s="10" t="n">
        <x:f>IF(COUNT('月度数据'!C230:C241)=D21,SUM('月度数据'!C230:C241),"")</x:f>
        <x:v>204479270</x:v>
      </x:c>
      <x:c r="G21" s="10" t="n">
        <x:f>SUM('月度数据'!D230:D241)</x:f>
        <x:v>291862840</x:v>
      </x:c>
      <x:c r="H21" s="2" t="n">
        <x:f>COUNT('月度数据'!C230:C241)</x:f>
        <x:v>12</x:v>
      </x:c>
      <x:c r="I21" s="2" t="str">
        <x:v>全年</x:v>
      </x:c>
      <x:c r="J21" s="16" t="str">
        <x:v>燃油分项与广义燃料系列存在统计口径或修订差异</x:v>
      </x:c>
    </x:row>
    <x:row r="22" ht="36" customHeight="1">
      <x:c r="A22" s="6" t="n">
        <x:v>2021</x:v>
      </x:c>
      <x:c r="B22" s="13" t="d">
        <x:v>2021-01-01T00:00:00.000Z</x:v>
      </x:c>
      <x:c r="C22" s="13" t="d">
        <x:v>2021-12-31T00:00:00.000Z</x:v>
      </x:c>
      <x:c r="D22" s="6" t="n">
        <x:f>COUNT('月度数据'!B242:B253)</x:f>
        <x:v>12</x:v>
      </x:c>
      <x:c r="E22" s="9" t="n">
        <x:f>SUM('月度数据'!B242:B253)</x:f>
        <x:v>469430810</x:v>
      </x:c>
      <x:c r="F22" s="9" t="n">
        <x:f>IF(COUNT('月度数据'!C242:C253)=D22,SUM('月度数据'!C242:C253),"")</x:f>
        <x:v>283768360</x:v>
      </x:c>
      <x:c r="G22" s="9" t="n">
        <x:f>SUM('月度数据'!D242:D253)</x:f>
        <x:v>345479650</x:v>
      </x:c>
      <x:c r="H22" s="6" t="n">
        <x:f>COUNT('月度数据'!C242:C253)</x:f>
        <x:v>12</x:v>
      </x:c>
      <x:c r="I22" s="6" t="str">
        <x:v>全年</x:v>
      </x:c>
      <x:c r="J22" s="15" t="str">
        <x:v>燃油分项与广义燃料系列存在统计口径或修订差异</x:v>
      </x:c>
    </x:row>
    <x:row r="23" ht="36" customHeight="1">
      <x:c r="A23" s="2" t="n">
        <x:v>2022</x:v>
      </x:c>
      <x:c r="B23" s="14" t="d">
        <x:v>2022-01-01T00:00:00.000Z</x:v>
      </x:c>
      <x:c r="C23" s="14" t="d">
        <x:v>2022-12-31T00:00:00.000Z</x:v>
      </x:c>
      <x:c r="D23" s="2" t="n">
        <x:f>COUNT('月度数据'!B254:B265)</x:f>
        <x:v>12</x:v>
      </x:c>
      <x:c r="E23" s="10" t="n">
        <x:f>SUM('月度数据'!B254:B265)</x:f>
        <x:v>486963320</x:v>
      </x:c>
      <x:c r="F23" s="10" t="n">
        <x:f>IF(COUNT('月度数据'!C254:C265)=D23,SUM('月度数据'!C254:C265),"")</x:f>
        <x:v>452006960</x:v>
      </x:c>
      <x:c r="G23" s="10" t="n">
        <x:f>SUM('月度数据'!D254:D265)</x:f>
        <x:v>603399140</x:v>
      </x:c>
      <x:c r="H23" s="2" t="n">
        <x:f>COUNT('月度数据'!C254:C265)</x:f>
        <x:v>12</x:v>
      </x:c>
      <x:c r="I23" s="2" t="str">
        <x:v>全年</x:v>
      </x:c>
      <x:c r="J23" s="16" t="str">
        <x:v>燃油分项与广义燃料系列存在统计口径或修订差异</x:v>
      </x:c>
    </x:row>
    <x:row r="24" ht="36" customHeight="1">
      <x:c r="A24" s="6" t="n">
        <x:v>2023</x:v>
      </x:c>
      <x:c r="B24" s="13" t="d">
        <x:v>2023-01-01T00:00:00.000Z</x:v>
      </x:c>
      <x:c r="C24" s="13" t="d">
        <x:v>2023-12-31T00:00:00.000Z</x:v>
      </x:c>
      <x:c r="D24" s="6" t="n">
        <x:f>COUNT('月度数据'!B266:B277)</x:f>
        <x:v>12</x:v>
      </x:c>
      <x:c r="E24" s="9" t="n">
        <x:f>SUM('月度数据'!B266:B277)</x:f>
        <x:v>429392720</x:v>
      </x:c>
      <x:c r="F24" s="9" t="n">
        <x:f>IF(COUNT('月度数据'!C266:C277)=D24,SUM('月度数据'!C266:C277),"")</x:f>
        <x:v>428887880</x:v>
      </x:c>
      <x:c r="G24" s="9" t="n">
        <x:f>SUM('月度数据'!D266:D277)</x:f>
        <x:v>579411650</x:v>
      </x:c>
      <x:c r="H24" s="6" t="n">
        <x:f>COUNT('月度数据'!C266:C277)</x:f>
        <x:v>12</x:v>
      </x:c>
      <x:c r="I24" s="6" t="str">
        <x:v>全年</x:v>
      </x:c>
      <x:c r="J24" s="15" t="str">
        <x:v>燃油分项与广义燃料系列存在统计口径或修订差异</x:v>
      </x:c>
    </x:row>
    <x:row r="25" ht="36" customHeight="1">
      <x:c r="A25" s="2" t="n">
        <x:v>2024</x:v>
      </x:c>
      <x:c r="B25" s="14" t="d">
        <x:v>2024-01-01T00:00:00.000Z</x:v>
      </x:c>
      <x:c r="C25" s="14" t="d">
        <x:v>2024-12-31T00:00:00.000Z</x:v>
      </x:c>
      <x:c r="D25" s="2" t="n">
        <x:f>COUNT('月度数据'!B278:B289)</x:f>
        <x:v>12</x:v>
      </x:c>
      <x:c r="E25" s="10" t="n">
        <x:f>SUM('月度数据'!B278:B289)</x:f>
        <x:v>446223780.01</x:v>
      </x:c>
      <x:c r="F25" s="10" t="n">
        <x:f>IF(COUNT('月度数据'!C278:C289)=D25,SUM('月度数据'!C278:C289),"")</x:f>
        <x:v>426697242.45</x:v>
      </x:c>
      <x:c r="G25" s="10" t="n">
        <x:f>SUM('月度数据'!D278:D289)</x:f>
        <x:v>747024670.99</x:v>
      </x:c>
      <x:c r="H25" s="2" t="n">
        <x:f>COUNT('月度数据'!C278:C289)</x:f>
        <x:v>12</x:v>
      </x:c>
      <x:c r="I25" s="2" t="str">
        <x:v>全年</x:v>
      </x:c>
      <x:c r="J25" s="16" t="str">
        <x:v>燃油分项与广义燃料系列存在统计口径或修订差异</x:v>
      </x:c>
    </x:row>
    <x:row r="26" ht="36" customHeight="1">
      <x:c r="A26" s="12" t="n">
        <x:v>2025</x:v>
      </x:c>
      <x:c r="B26" s="17" t="d">
        <x:v>2025-01-01T00:00:00.000Z</x:v>
      </x:c>
      <x:c r="C26" s="17" t="d">
        <x:v>2025-12-31T00:00:00.000Z</x:v>
      </x:c>
      <x:c r="D26" s="12" t="n">
        <x:f>COUNT('月度数据'!B290:B301)</x:f>
        <x:v>12</x:v>
      </x:c>
      <x:c r="E26" s="11" t="n">
        <x:f>SUM('月度数据'!B290:B301)</x:f>
        <x:v>396057946.53000003</x:v>
      </x:c>
      <x:c r="F26" s="11" t="str">
        <x:f>IF(COUNT('月度数据'!C290:C301)=D26,SUM('月度数据'!C290:C301),"")</x:f>
      </x:c>
      <x:c r="G26" s="11" t="n">
        <x:f>SUM('月度数据'!D290:D301)</x:f>
        <x:v>607874749.6700001</x:v>
      </x:c>
      <x:c r="H26" s="12" t="n">
        <x:f>COUNT('月度数据'!C290:C301)</x:f>
        <x:v>4</x:v>
      </x:c>
      <x:c r="I26" s="12" t="str">
        <x:v>全年</x:v>
      </x:c>
      <x:c r="J26" s="18" t="str">
        <x:v>燃油原报存在待核实零值，合计留空</x:v>
      </x:c>
    </x:row>
    <x:row r="27" ht="36" customHeight="1">
      <x:c r="A27" s="12" t="n">
        <x:v>2026</x:v>
      </x:c>
      <x:c r="B27" s="17" t="d">
        <x:v>2026-01-01T00:00:00.000Z</x:v>
      </x:c>
      <x:c r="C27" s="17" t="d">
        <x:v>2026-06-30T00:00:00.000Z</x:v>
      </x:c>
      <x:c r="D27" s="12" t="n">
        <x:f>COUNT('月度数据'!B302:B307)</x:f>
        <x:v>6</x:v>
      </x:c>
      <x:c r="E27" s="11" t="n">
        <x:f>SUM('月度数据'!B302:B307)</x:f>
        <x:v>165167034.54</x:v>
      </x:c>
      <x:c r="F27" s="11" t="str">
        <x:f>IF(COUNT('月度数据'!C302:C307)=D27,SUM('月度数据'!C302:C307),"")</x:f>
      </x:c>
      <x:c r="G27" s="11" t="n">
        <x:f>SUM('月度数据'!D302:D307)</x:f>
        <x:v>333264144.57</x:v>
      </x:c>
      <x:c r="H27" s="12" t="n">
        <x:f>COUNT('月度数据'!C302:C307)</x:f>
        <x:v>0</x:v>
      </x:c>
      <x:c r="I27" s="12" t="str">
        <x:v>1—6月累计</x:v>
      </x:c>
      <x:c r="J27" s="18" t="str">
        <x:v>燃油原报存在待核实零值，合计留空</x:v>
      </x:c>
    </x:row>
  </x:sheetData>
  <x:pageMargins left="0.7" right="0.7" top="0.75" bottom="0.75" header="0.3" footer="0.3"/>
  <x:tableParts count="1">
    <x:tablePart xmlns:r="http://schemas.openxmlformats.org/officeDocument/2006/relationships" r:id="R2b03684672ac43a0"/>
  </x:tableParts>
</x:worksheet>
</file>

<file path=xl/worksheets/sheet4.xml><?xml version="1.0" encoding="utf-8"?>
<x:worksheet xmlns:x="http://schemas.openxmlformats.org/spreadsheetml/2006/main">
  <x:sheetPr>
    <x:tabColor rgb="FF006D7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44" hidden="0" customWidth="1"/>
    <x:col min="8" max="8" width="12" hidden="0" customWidth="1"/>
    <x:col min="9" max="9" width="39" hidden="0" customWidth="1"/>
    <x:col min="10" max="10" width="80" hidden="0" customWidth="1"/>
  </x:cols>
  <x:sheetData>
    <x:row r="1" ht="46" customHeight="1">
      <x:c r="A1" s="5" t="str">
        <x:v>年份</x:v>
      </x:c>
      <x:c r="B1" s="5" t="str">
        <x:v>期间开始</x:v>
      </x:c>
      <x:c r="C1" s="5" t="str">
        <x:v>期间结束</x:v>
      </x:c>
      <x:c r="D1" s="5" t="str">
        <x:v>铁矿石出口量
原报数量</x:v>
      </x:c>
      <x:c r="E1" s="5" t="str">
        <x:v>原报单位</x:v>
      </x:c>
      <x:c r="F1" s="5" t="str">
        <x:v>单位说明</x:v>
      </x:c>
      <x:c r="G1" s="5" t="str">
        <x:v>覆盖范围</x:v>
      </x:c>
      <x:c r="H1" s="5" t="str">
        <x:v>来源ID</x:v>
      </x:c>
      <x:c r="I1" s="5" t="str">
        <x:v>原文位置</x:v>
      </x:c>
      <x:c r="J1" s="5" t="str">
        <x:v>数据备注</x:v>
      </x:c>
    </x:row>
    <x:row r="2" ht="65" customHeight="1">
      <x:c r="A2" s="6" t="n">
        <x:v>2016</x:v>
      </x:c>
      <x:c r="B2" s="13" t="d">
        <x:v>2016-01-01T00:00:00.000Z</x:v>
      </x:c>
      <x:c r="C2" s="13" t="d">
        <x:v>2016-12-31T00:00:00.000Z</x:v>
      </x:c>
      <x:c r="D2" s="9" t="n">
        <x:v>5157254.48</x:v>
      </x:c>
      <x:c r="E2" s="6" t="str">
        <x:v>DMT</x:v>
      </x:c>
      <x:c r="F2" s="6" t="str">
        <x:v>干公吨</x:v>
      </x:c>
      <x:c r="G2" s="15" t="str">
        <x:v>NMA：Tonkolili 出口；另一铁矿企业 Timis 列为 0</x:v>
      </x:c>
      <x:c r="H2" s="15" t="str">
        <x:v>S06</x:v>
      </x:c>
      <x:c r="I2" s="15" t="str">
        <x:v>PDF第52页／报告第36页，表4.1</x:v>
      </x:c>
      <x:c r="J2" s="15" t="str">
        <x:v>保持原报 dmt；与后续 WMT 年份不能直接视为同口径。</x:v>
      </x:c>
    </x:row>
    <x:row r="3" ht="65" customHeight="1">
      <x:c r="A3" s="2" t="n">
        <x:v>2017</x:v>
      </x:c>
      <x:c r="B3" s="14" t="d">
        <x:v>2017-01-01T00:00:00.000Z</x:v>
      </x:c>
      <x:c r="C3" s="14" t="d">
        <x:v>2017-12-31T00:00:00.000Z</x:v>
      </x:c>
      <x:c r="D3" s="10" t="n">
        <x:v>5946673.67</x:v>
      </x:c>
      <x:c r="E3" s="2" t="str">
        <x:v>WMT</x:v>
      </x:c>
      <x:c r="F3" s="2" t="str">
        <x:v>湿公吨</x:v>
      </x:c>
      <x:c r="G3" s="16" t="str">
        <x:v>NMA 矿产品出口表</x:v>
      </x:c>
      <x:c r="H3" s="16" t="str">
        <x:v>S07</x:v>
      </x:c>
      <x:c r="I3" s="16" t="str">
        <x:v>PDF及报告第65页，3.9 Mineral Export</x:v>
      </x:c>
      <x:c r="J3" s="16" t="str">
        <x:v>BSL月度档案全年合计为5,943,052.30吨，较本表少3,621.37吨；两来源分列保留。</x:v>
      </x:c>
    </x:row>
    <x:row r="4" ht="65" customHeight="1">
      <x:c r="A4" s="6" t="n">
        <x:v>2018</x:v>
      </x:c>
      <x:c r="B4" s="13" t="d">
        <x:v>2018-01-01T00:00:00.000Z</x:v>
      </x:c>
      <x:c r="C4" s="13" t="d">
        <x:v>2018-12-31T00:00:00.000Z</x:v>
      </x:c>
      <x:c r="D4" s="9" t="n">
        <x:v>968585.02</x:v>
      </x:c>
      <x:c r="E4" s="6" t="str">
        <x:v>WMT</x:v>
      </x:c>
      <x:c r="F4" s="6" t="str">
        <x:v>湿公吨</x:v>
      </x:c>
      <x:c r="G4" s="15" t="str">
        <x:v>NMA 矿产品出口表</x:v>
      </x:c>
      <x:c r="H4" s="15" t="str">
        <x:v>S07</x:v>
      </x:c>
      <x:c r="I4" s="15" t="str">
        <x:v>PDF及报告第65页，3.9 Mineral Export</x:v>
      </x:c>
      <x:c r="J4" s="15" t="str">
        <x:v>年度报告值；BSL月度档案仅覆盖1—9月，未据此补填10—12月零值。</x:v>
      </x:c>
    </x:row>
    <x:row r="5" ht="65" customHeight="1">
      <x:c r="A5" s="12" t="n">
        <x:v>2019</x:v>
      </x:c>
      <x:c r="B5" s="17" t="d">
        <x:v>2019-01-01T00:00:00.000Z</x:v>
      </x:c>
      <x:c r="C5" s="17" t="d">
        <x:v>2019-12-31T00:00:00.000Z</x:v>
      </x:c>
      <x:c r="D5" s="11" t="n">
        <x:v>174665</x:v>
      </x:c>
      <x:c r="E5" s="12" t="str">
        <x:v>DMT</x:v>
      </x:c>
      <x:c r="F5" s="12" t="str">
        <x:v>干公吨</x:v>
      </x:c>
      <x:c r="G5" s="18" t="str">
        <x:v>报告表13列示 SL Mining Limited；企业披露口径</x:v>
      </x:c>
      <x:c r="H5" s="18" t="str">
        <x:v>S08</x:v>
      </x:c>
      <x:c r="I5" s="18" t="str">
        <x:v>PDF及报告第85页，表13</x:v>
      </x:c>
      <x:c r="J5" s="18" t="str">
        <x:v>报告出口表覆盖企业并非全部在范围内企业；保留列示值，不能无条件认定为全国完整总量。</x:v>
      </x:c>
    </x:row>
    <x:row r="6" ht="65" customHeight="1">
      <x:c r="A6" s="6" t="n">
        <x:v>2020</x:v>
      </x:c>
      <x:c r="B6" s="13" t="d">
        <x:v>2020-01-01T00:00:00.000Z</x:v>
      </x:c>
      <x:c r="C6" s="13" t="d">
        <x:v>2020-12-31T00:00:00.000Z</x:v>
      </x:c>
      <x:c r="D6" s="9" t="n">
        <x:v>0</x:v>
      </x:c>
      <x:c r="E6" s="6" t="str">
        <x:v>DMT</x:v>
      </x:c>
      <x:c r="F6" s="6" t="str">
        <x:v>干公吨</x:v>
      </x:c>
      <x:c r="G6" s="15" t="str">
        <x:v>NMA 商品总表</x:v>
      </x:c>
      <x:c r="H6" s="15" t="str">
        <x:v>S09</x:v>
      </x:c>
      <x:c r="I6" s="15" t="str">
        <x:v>PDF及报告第61页，表33 Export列</x:v>
      </x:c>
      <x:c r="J6" s="15" t="str">
        <x:v>出口量原报明确为0；保留0，不取对数。</x:v>
      </x:c>
    </x:row>
    <x:row r="7" ht="65" customHeight="1">
      <x:c r="A7" s="12" t="n">
        <x:v>2021</x:v>
      </x:c>
      <x:c r="B7" s="17" t="d">
        <x:v>2021-01-01T00:00:00.000Z</x:v>
      </x:c>
      <x:c r="C7" s="17" t="d">
        <x:v>2021-12-31T00:00:00.000Z</x:v>
      </x:c>
      <x:c r="D7" s="11" t="n">
        <x:v>1732081</x:v>
      </x:c>
      <x:c r="E7" s="12" t="str">
        <x:v>DMT</x:v>
      </x:c>
      <x:c r="F7" s="12" t="str">
        <x:v>干公吨</x:v>
      </x:c>
      <x:c r="G7" s="18" t="str">
        <x:v>NMA 商品总表</x:v>
      </x:c>
      <x:c r="H7" s="18" t="str">
        <x:v>S09</x:v>
      </x:c>
      <x:c r="I7" s="18" t="str">
        <x:v>PDF及报告第62页，表34 Export列</x:v>
      </x:c>
      <x:c r="J7" s="18" t="str">
        <x:v>采用NMA总表原值；报告第99页Kingho公司披露2,032,015 MT，存在口径或报告差异，建模前应核实。</x:v>
      </x:c>
    </x:row>
    <x:row r="8" ht="65" customHeight="1">
      <x:c r="A8" s="6" t="n">
        <x:v>2022</x:v>
      </x:c>
      <x:c r="B8" s="13" t="d">
        <x:v>2022-01-01T00:00:00.000Z</x:v>
      </x:c>
      <x:c r="C8" s="13" t="d">
        <x:v>2022-12-31T00:00:00.000Z</x:v>
      </x:c>
      <x:c r="D8" s="9" t="n">
        <x:v>7831996</x:v>
      </x:c>
      <x:c r="E8" s="6" t="str">
        <x:v>DMT</x:v>
      </x:c>
      <x:c r="F8" s="6" t="str">
        <x:v>干公吨</x:v>
      </x:c>
      <x:c r="G8" s="15" t="str">
        <x:v>NMA 商品总表</x:v>
      </x:c>
      <x:c r="H8" s="15" t="str">
        <x:v>S10</x:v>
      </x:c>
      <x:c r="I8" s="15" t="str">
        <x:v>PDF及报告第73页，表47</x:v>
      </x:c>
      <x:c r="J8" s="15" t="str">
        <x:v>表47单位为DMT；保留表列单位，不按正文出现的WMT单价换算。</x:v>
      </x:c>
    </x:row>
    <x:row r="9" ht="65" customHeight="1">
      <x:c r="A9" s="2" t="n">
        <x:v>2023</x:v>
      </x:c>
      <x:c r="B9" s="14" t="d">
        <x:v>2023-01-01T00:00:00.000Z</x:v>
      </x:c>
      <x:c r="C9" s="14" t="d">
        <x:v>2023-12-31T00:00:00.000Z</x:v>
      </x:c>
      <x:c r="D9" s="10" t="n">
        <x:v>10203854</x:v>
      </x:c>
      <x:c r="E9" s="2" t="str">
        <x:v>DMT</x:v>
      </x:c>
      <x:c r="F9" s="2" t="str">
        <x:v>干公吨</x:v>
      </x:c>
      <x:c r="G9" s="16" t="str">
        <x:v>NMA 商品总表</x:v>
      </x:c>
      <x:c r="H9" s="16" t="str">
        <x:v>S10</x:v>
      </x:c>
      <x:c r="I9" s="16" t="str">
        <x:v>PDF及报告第73页，表47</x:v>
      </x:c>
      <x:c r="J9" s="16" t="str">
        <x:v>表47单位为DMT；为本次取得的最新年度出口量。</x:v>
      </x:c>
    </x:row>
  </x:sheetData>
  <x:pageMargins left="0.7" right="0.7" top="0.75" bottom="0.75" header="0.3" footer="0.3"/>
  <x:tableParts count="1">
    <x:tablePart xmlns:r="http://schemas.openxmlformats.org/officeDocument/2006/relationships" r:id="R75c67f6b7f734bfe"/>
  </x:tableParts>
</x:worksheet>
</file>

<file path=xl/worksheets/sheet5.xml><?xml version="1.0" encoding="utf-8"?>
<x:worksheet xmlns:x="http://schemas.openxmlformats.org/spreadsheetml/2006/main">
  <x:sheetPr>
    <x:tabColor rgb="FF006D7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2" hidden="0" customWidth="1"/>
    <x:col min="5" max="5" width="28" hidden="0" customWidth="1"/>
    <x:col min="6" max="6" width="22" hidden="0" customWidth="1"/>
    <x:col min="7" max="7" width="22" hidden="0" customWidth="1"/>
    <x:col min="8" max="8" width="18" hidden="0" customWidth="1"/>
  </x:cols>
  <x:sheetData>
    <x:row r="1" ht="46" customHeight="1">
      <x:c r="A1" s="5" t="str">
        <x:v>月份</x:v>
      </x:c>
      <x:c r="B1" s="5" t="str">
        <x:v>原报月份标签</x:v>
      </x:c>
      <x:c r="C1" s="5" t="str">
        <x:v>食品进口额
千美元／S01</x:v>
      </x:c>
      <x:c r="D1" s="5" t="str">
        <x:v>燃油进口额
千美元／S02</x:v>
      </x:c>
      <x:c r="E1" s="5" t="str">
        <x:v>矿物燃料及润滑油进口额
千美元／S03</x:v>
      </x:c>
      <x:c r="F1" s="5" t="str">
        <x:v>铁矿石出口额
千美元／S04</x:v>
      </x:c>
      <x:c r="G1" s="5" t="str">
        <x:v>铁矿石出口量
M. Tons／S05</x:v>
      </x:c>
      <x:c r="H1" s="5" t="str">
        <x:v>S05原表单元格</x:v>
      </x:c>
    </x:row>
    <x:row r="2" ht="25" customHeight="1">
      <x:c r="A2" s="7" t="d">
        <x:v>2001-01-01T00:00:00.000Z</x:v>
      </x:c>
      <x:c r="B2" s="6" t="str">
        <x:v>Jan-01</x:v>
      </x:c>
      <x:c r="C2" s="9" t="n">
        <x:v>2258.5</x:v>
      </x:c>
      <x:c r="D2" s="9" t="n">
        <x:v>2336.01</x:v>
      </x:c>
      <x:c r="E2" s="9" t="n">
        <x:v>2479.9</x:v>
      </x:c>
      <x:c r="F2" s="9"/>
      <x:c r="G2" s="9"/>
      <x:c r="H2" s="6" t="str"/>
    </x:row>
    <x:row r="3" ht="25" customHeight="1">
      <x:c r="A3" s="8" t="d">
        <x:v>2001-02-01T00:00:00.000Z</x:v>
      </x:c>
      <x:c r="B3" s="2" t="str">
        <x:v>Feb-01</x:v>
      </x:c>
      <x:c r="C3" s="10" t="n">
        <x:v>2175.3</x:v>
      </x:c>
      <x:c r="D3" s="10" t="n">
        <x:v>2575.34</x:v>
      </x:c>
      <x:c r="E3" s="10" t="n">
        <x:v>2700.3</x:v>
      </x:c>
      <x:c r="F3" s="10"/>
      <x:c r="G3" s="10"/>
      <x:c r="H3" s="2" t="str"/>
    </x:row>
    <x:row r="4" ht="25" customHeight="1">
      <x:c r="A4" s="7" t="d">
        <x:v>2001-03-01T00:00:00.000Z</x:v>
      </x:c>
      <x:c r="B4" s="6" t="str">
        <x:v>Mar-01</x:v>
      </x:c>
      <x:c r="C4" s="9" t="n">
        <x:v>3568.8</x:v>
      </x:c>
      <x:c r="D4" s="9" t="n">
        <x:v>3703.33</x:v>
      </x:c>
      <x:c r="E4" s="9" t="n">
        <x:v>3903.9</x:v>
      </x:c>
      <x:c r="F4" s="9"/>
      <x:c r="G4" s="9"/>
      <x:c r="H4" s="6" t="str"/>
    </x:row>
    <x:row r="5" ht="25" customHeight="1">
      <x:c r="A5" s="8" t="d">
        <x:v>2001-04-01T00:00:00.000Z</x:v>
      </x:c>
      <x:c r="B5" s="2" t="str">
        <x:v>Apr-01</x:v>
      </x:c>
      <x:c r="C5" s="10" t="n">
        <x:v>3410.7</x:v>
      </x:c>
      <x:c r="D5" s="10" t="n">
        <x:v>2779.17</x:v>
      </x:c>
      <x:c r="E5" s="10" t="n">
        <x:v>2976.2</x:v>
      </x:c>
      <x:c r="F5" s="10"/>
      <x:c r="G5" s="10"/>
      <x:c r="H5" s="2" t="str"/>
    </x:row>
    <x:row r="6" ht="25" customHeight="1">
      <x:c r="A6" s="7" t="d">
        <x:v>2001-05-01T00:00:00.000Z</x:v>
      </x:c>
      <x:c r="B6" s="6" t="str">
        <x:v>May-01</x:v>
      </x:c>
      <x:c r="C6" s="9" t="n">
        <x:v>4931.9</x:v>
      </x:c>
      <x:c r="D6" s="9" t="n">
        <x:v>4028.69</x:v>
      </x:c>
      <x:c r="E6" s="9" t="n">
        <x:v>4377.4</x:v>
      </x:c>
      <x:c r="F6" s="9"/>
      <x:c r="G6" s="9"/>
      <x:c r="H6" s="6" t="str"/>
    </x:row>
    <x:row r="7" ht="25" customHeight="1">
      <x:c r="A7" s="8" t="d">
        <x:v>2001-06-01T00:00:00.000Z</x:v>
      </x:c>
      <x:c r="B7" s="2" t="str">
        <x:v>Jun-01</x:v>
      </x:c>
      <x:c r="C7" s="10" t="n">
        <x:v>5247.6</x:v>
      </x:c>
      <x:c r="D7" s="10" t="n">
        <x:v>1478.08</x:v>
      </x:c>
      <x:c r="E7" s="10" t="n">
        <x:v>1787.6</x:v>
      </x:c>
      <x:c r="F7" s="10"/>
      <x:c r="G7" s="10"/>
      <x:c r="H7" s="2" t="str"/>
    </x:row>
    <x:row r="8" ht="25" customHeight="1">
      <x:c r="A8" s="7" t="d">
        <x:v>2001-07-01T00:00:00.000Z</x:v>
      </x:c>
      <x:c r="B8" s="6" t="str">
        <x:v>Jul-01</x:v>
      </x:c>
      <x:c r="C8" s="9" t="n">
        <x:v>3552.5</x:v>
      </x:c>
      <x:c r="D8" s="9" t="n">
        <x:v>4329.17</x:v>
      </x:c>
      <x:c r="E8" s="9" t="n">
        <x:v>4535.5</x:v>
      </x:c>
      <x:c r="F8" s="9"/>
      <x:c r="G8" s="9"/>
      <x:c r="H8" s="6" t="str"/>
    </x:row>
    <x:row r="9" ht="25" customHeight="1">
      <x:c r="A9" s="8" t="d">
        <x:v>2001-08-01T00:00:00.000Z</x:v>
      </x:c>
      <x:c r="B9" s="2" t="str">
        <x:v>Aug-01</x:v>
      </x:c>
      <x:c r="C9" s="10" t="n">
        <x:v>5369.7</x:v>
      </x:c>
      <x:c r="D9" s="10" t="n">
        <x:v>3780.98</x:v>
      </x:c>
      <x:c r="E9" s="10" t="n">
        <x:v>4256.6</x:v>
      </x:c>
      <x:c r="F9" s="10"/>
      <x:c r="G9" s="10"/>
      <x:c r="H9" s="2" t="str"/>
    </x:row>
    <x:row r="10" ht="25" customHeight="1">
      <x:c r="A10" s="7" t="d">
        <x:v>2001-09-01T00:00:00.000Z</x:v>
      </x:c>
      <x:c r="B10" s="6" t="str">
        <x:v>Sep-01</x:v>
      </x:c>
      <x:c r="C10" s="9" t="n">
        <x:v>6126.5</x:v>
      </x:c>
      <x:c r="D10" s="9" t="n">
        <x:v>4162.23</x:v>
      </x:c>
      <x:c r="E10" s="9" t="n">
        <x:v>7114.5</x:v>
      </x:c>
      <x:c r="F10" s="9"/>
      <x:c r="G10" s="9"/>
      <x:c r="H10" s="6" t="str"/>
    </x:row>
    <x:row r="11" ht="25" customHeight="1">
      <x:c r="A11" s="8" t="d">
        <x:v>2001-10-01T00:00:00.000Z</x:v>
      </x:c>
      <x:c r="B11" s="2" t="str">
        <x:v>Oct-01</x:v>
      </x:c>
      <x:c r="C11" s="10" t="n">
        <x:v>6373.3</x:v>
      </x:c>
      <x:c r="D11" s="10" t="n">
        <x:v>1332.71</x:v>
      </x:c>
      <x:c r="E11" s="10" t="n">
        <x:v>1526.1</x:v>
      </x:c>
      <x:c r="F11" s="10"/>
      <x:c r="G11" s="10"/>
      <x:c r="H11" s="2" t="str"/>
    </x:row>
    <x:row r="12" ht="25" customHeight="1">
      <x:c r="A12" s="7" t="d">
        <x:v>2001-11-01T00:00:00.000Z</x:v>
      </x:c>
      <x:c r="B12" s="6" t="str">
        <x:v>Nov-01</x:v>
      </x:c>
      <x:c r="C12" s="9" t="n">
        <x:v>4059.3</x:v>
      </x:c>
      <x:c r="D12" s="9" t="n">
        <x:v>3547.49</x:v>
      </x:c>
      <x:c r="E12" s="9" t="n">
        <x:v>3716.7</x:v>
      </x:c>
      <x:c r="F12" s="9"/>
      <x:c r="G12" s="9"/>
      <x:c r="H12" s="6" t="str"/>
    </x:row>
    <x:row r="13" ht="25" customHeight="1">
      <x:c r="A13" s="8" t="d">
        <x:v>2001-12-01T00:00:00.000Z</x:v>
      </x:c>
      <x:c r="B13" s="2" t="str">
        <x:v>Dec-01</x:v>
      </x:c>
      <x:c r="C13" s="10" t="n">
        <x:v>4842.9</x:v>
      </x:c>
      <x:c r="D13" s="10" t="n">
        <x:v>3415.69</x:v>
      </x:c>
      <x:c r="E13" s="10" t="n">
        <x:v>3960.1</x:v>
      </x:c>
      <x:c r="F13" s="10"/>
      <x:c r="G13" s="10"/>
      <x:c r="H13" s="2" t="str"/>
    </x:row>
    <x:row r="14" ht="25" customHeight="1">
      <x:c r="A14" s="7" t="d">
        <x:v>2002-01-01T00:00:00.000Z</x:v>
      </x:c>
      <x:c r="B14" s="6" t="str">
        <x:v>Jan-02</x:v>
      </x:c>
      <x:c r="C14" s="9" t="n">
        <x:v>5343.8</x:v>
      </x:c>
      <x:c r="D14" s="9" t="n">
        <x:v>1975.14</x:v>
      </x:c>
      <x:c r="E14" s="9" t="n">
        <x:v>1953.8</x:v>
      </x:c>
      <x:c r="F14" s="9"/>
      <x:c r="G14" s="9"/>
      <x:c r="H14" s="6" t="str"/>
    </x:row>
    <x:row r="15" ht="25" customHeight="1">
      <x:c r="A15" s="8" t="d">
        <x:v>2002-02-01T00:00:00.000Z</x:v>
      </x:c>
      <x:c r="B15" s="2" t="str">
        <x:v>Feb-02</x:v>
      </x:c>
      <x:c r="C15" s="10" t="n">
        <x:v>5884.7</x:v>
      </x:c>
      <x:c r="D15" s="10" t="n">
        <x:v>3285.16</x:v>
      </x:c>
      <x:c r="E15" s="10" t="n">
        <x:v>3886.3</x:v>
      </x:c>
      <x:c r="F15" s="10"/>
      <x:c r="G15" s="10"/>
      <x:c r="H15" s="2" t="str"/>
    </x:row>
    <x:row r="16" ht="25" customHeight="1">
      <x:c r="A16" s="7" t="d">
        <x:v>2002-03-01T00:00:00.000Z</x:v>
      </x:c>
      <x:c r="B16" s="6" t="str">
        <x:v>Mar-02</x:v>
      </x:c>
      <x:c r="C16" s="9" t="n">
        <x:v>5187.8</x:v>
      </x:c>
      <x:c r="D16" s="9" t="n">
        <x:v>3987.08</x:v>
      </x:c>
      <x:c r="E16" s="9" t="n">
        <x:v>4329.7</x:v>
      </x:c>
      <x:c r="F16" s="9"/>
      <x:c r="G16" s="9"/>
      <x:c r="H16" s="6" t="str"/>
    </x:row>
    <x:row r="17" ht="25" customHeight="1">
      <x:c r="A17" s="8" t="d">
        <x:v>2002-04-01T00:00:00.000Z</x:v>
      </x:c>
      <x:c r="B17" s="2" t="str">
        <x:v>Apr-02</x:v>
      </x:c>
      <x:c r="C17" s="10" t="n">
        <x:v>2450.2</x:v>
      </x:c>
      <x:c r="D17" s="10" t="n">
        <x:v>4204.07</x:v>
      </x:c>
      <x:c r="E17" s="10" t="n">
        <x:v>6452.5</x:v>
      </x:c>
      <x:c r="F17" s="10"/>
      <x:c r="G17" s="10"/>
      <x:c r="H17" s="2" t="str"/>
    </x:row>
    <x:row r="18" ht="25" customHeight="1">
      <x:c r="A18" s="7" t="d">
        <x:v>2002-05-01T00:00:00.000Z</x:v>
      </x:c>
      <x:c r="B18" s="6" t="str">
        <x:v>May-02</x:v>
      </x:c>
      <x:c r="C18" s="9" t="n">
        <x:v>4514.6</x:v>
      </x:c>
      <x:c r="D18" s="9" t="n">
        <x:v>2562.31</x:v>
      </x:c>
      <x:c r="E18" s="9" t="n">
        <x:v>3085.4</x:v>
      </x:c>
      <x:c r="F18" s="9"/>
      <x:c r="G18" s="9"/>
      <x:c r="H18" s="6" t="str"/>
    </x:row>
    <x:row r="19" ht="25" customHeight="1">
      <x:c r="A19" s="8" t="d">
        <x:v>2002-06-01T00:00:00.000Z</x:v>
      </x:c>
      <x:c r="B19" s="2" t="str">
        <x:v>Jun-02</x:v>
      </x:c>
      <x:c r="C19" s="10" t="n">
        <x:v>5541.8</x:v>
      </x:c>
      <x:c r="D19" s="10" t="n">
        <x:v>4189.43</x:v>
      </x:c>
      <x:c r="E19" s="10" t="n">
        <x:v>5152.4</x:v>
      </x:c>
      <x:c r="F19" s="10"/>
      <x:c r="G19" s="10"/>
      <x:c r="H19" s="2" t="str"/>
    </x:row>
    <x:row r="20" ht="25" customHeight="1">
      <x:c r="A20" s="7" t="d">
        <x:v>2002-07-01T00:00:00.000Z</x:v>
      </x:c>
      <x:c r="B20" s="6" t="str">
        <x:v>Jul-02</x:v>
      </x:c>
      <x:c r="C20" s="9" t="n">
        <x:v>4442</x:v>
      </x:c>
      <x:c r="D20" s="9" t="n">
        <x:v>5424.34</x:v>
      </x:c>
      <x:c r="E20" s="9" t="n">
        <x:v>5869.8</x:v>
      </x:c>
      <x:c r="F20" s="9"/>
      <x:c r="G20" s="9"/>
      <x:c r="H20" s="6" t="str"/>
    </x:row>
    <x:row r="21" ht="25" customHeight="1">
      <x:c r="A21" s="8" t="d">
        <x:v>2002-08-01T00:00:00.000Z</x:v>
      </x:c>
      <x:c r="B21" s="2" t="str">
        <x:v>Aug-02</x:v>
      </x:c>
      <x:c r="C21" s="10" t="n">
        <x:v>7235.4</x:v>
      </x:c>
      <x:c r="D21" s="10" t="n">
        <x:v>4399.84</x:v>
      </x:c>
      <x:c r="E21" s="10" t="n">
        <x:v>5195.4</x:v>
      </x:c>
      <x:c r="F21" s="10"/>
      <x:c r="G21" s="10"/>
      <x:c r="H21" s="2" t="str"/>
    </x:row>
    <x:row r="22" ht="25" customHeight="1">
      <x:c r="A22" s="7" t="d">
        <x:v>2002-09-01T00:00:00.000Z</x:v>
      </x:c>
      <x:c r="B22" s="6" t="str">
        <x:v>Sep-02</x:v>
      </x:c>
      <x:c r="C22" s="9" t="n">
        <x:v>8313.2</x:v>
      </x:c>
      <x:c r="D22" s="9" t="n">
        <x:v>2294.4</x:v>
      </x:c>
      <x:c r="E22" s="9" t="n">
        <x:v>2560.9</x:v>
      </x:c>
      <x:c r="F22" s="9"/>
      <x:c r="G22" s="9"/>
      <x:c r="H22" s="6" t="str"/>
    </x:row>
    <x:row r="23" ht="25" customHeight="1">
      <x:c r="A23" s="8" t="d">
        <x:v>2002-10-01T00:00:00.000Z</x:v>
      </x:c>
      <x:c r="B23" s="2" t="str">
        <x:v>Oct-02</x:v>
      </x:c>
      <x:c r="C23" s="10" t="n">
        <x:v>9542.1</x:v>
      </x:c>
      <x:c r="D23" s="10" t="n">
        <x:v>5881.5</x:v>
      </x:c>
      <x:c r="E23" s="10" t="n">
        <x:v>6165</x:v>
      </x:c>
      <x:c r="F23" s="10"/>
      <x:c r="G23" s="10"/>
      <x:c r="H23" s="2" t="str"/>
    </x:row>
    <x:row r="24" ht="25" customHeight="1">
      <x:c r="A24" s="7" t="d">
        <x:v>2002-11-01T00:00:00.000Z</x:v>
      </x:c>
      <x:c r="B24" s="6" t="str">
        <x:v>Nov-02</x:v>
      </x:c>
      <x:c r="C24" s="9" t="n">
        <x:v>7678.4</x:v>
      </x:c>
      <x:c r="D24" s="9" t="n">
        <x:v>1446.4</x:v>
      </x:c>
      <x:c r="E24" s="9" t="n">
        <x:v>1764.5</x:v>
      </x:c>
      <x:c r="F24" s="9"/>
      <x:c r="G24" s="9"/>
      <x:c r="H24" s="6" t="str"/>
    </x:row>
    <x:row r="25" ht="25" customHeight="1">
      <x:c r="A25" s="8" t="d">
        <x:v>2002-12-01T00:00:00.000Z</x:v>
      </x:c>
      <x:c r="B25" s="2" t="str">
        <x:v>Dec-02</x:v>
      </x:c>
      <x:c r="C25" s="10" t="n">
        <x:v>4649.2</x:v>
      </x:c>
      <x:c r="D25" s="10" t="n">
        <x:v>5131.93</x:v>
      </x:c>
      <x:c r="E25" s="10" t="n">
        <x:v>5313.2</x:v>
      </x:c>
      <x:c r="F25" s="10"/>
      <x:c r="G25" s="10"/>
      <x:c r="H25" s="2" t="str"/>
    </x:row>
    <x:row r="26" ht="25" customHeight="1">
      <x:c r="A26" s="7" t="d">
        <x:v>2003-01-01T00:00:00.000Z</x:v>
      </x:c>
      <x:c r="B26" s="6" t="str">
        <x:v>Jan-03</x:v>
      </x:c>
      <x:c r="C26" s="9" t="n">
        <x:v>9509.3</x:v>
      </x:c>
      <x:c r="D26" s="9" t="n">
        <x:v>6115.5</x:v>
      </x:c>
      <x:c r="E26" s="9" t="n">
        <x:v>11277.6</x:v>
      </x:c>
      <x:c r="F26" s="9"/>
      <x:c r="G26" s="9"/>
      <x:c r="H26" s="6" t="str"/>
    </x:row>
    <x:row r="27" ht="25" customHeight="1">
      <x:c r="A27" s="8" t="d">
        <x:v>2003-02-01T00:00:00.000Z</x:v>
      </x:c>
      <x:c r="B27" s="2" t="str">
        <x:v>Feb-03</x:v>
      </x:c>
      <x:c r="C27" s="10" t="n">
        <x:v>7711.6</x:v>
      </x:c>
      <x:c r="D27" s="10" t="n">
        <x:v>3099.88</x:v>
      </x:c>
      <x:c r="E27" s="10" t="n">
        <x:v>3497.2</x:v>
      </x:c>
      <x:c r="F27" s="10"/>
      <x:c r="G27" s="10"/>
      <x:c r="H27" s="2" t="str"/>
    </x:row>
    <x:row r="28" ht="25" customHeight="1">
      <x:c r="A28" s="7" t="d">
        <x:v>2003-03-01T00:00:00.000Z</x:v>
      </x:c>
      <x:c r="B28" s="6" t="str">
        <x:v>Mar-03</x:v>
      </x:c>
      <x:c r="C28" s="9" t="n">
        <x:v>5959.5</x:v>
      </x:c>
      <x:c r="D28" s="9" t="n">
        <x:v>7747.62</x:v>
      </x:c>
      <x:c r="E28" s="9" t="n">
        <x:v>8833.3</x:v>
      </x:c>
      <x:c r="F28" s="9"/>
      <x:c r="G28" s="9"/>
      <x:c r="H28" s="6" t="str"/>
    </x:row>
    <x:row r="29" ht="25" customHeight="1">
      <x:c r="A29" s="8" t="d">
        <x:v>2003-04-01T00:00:00.000Z</x:v>
      </x:c>
      <x:c r="B29" s="2" t="str">
        <x:v>Apr-03</x:v>
      </x:c>
      <x:c r="C29" s="10" t="n">
        <x:v>5331.1</x:v>
      </x:c>
      <x:c r="D29" s="10" t="n">
        <x:v>3000.96</x:v>
      </x:c>
      <x:c r="E29" s="10" t="n">
        <x:v>4348.9</x:v>
      </x:c>
      <x:c r="F29" s="10"/>
      <x:c r="G29" s="10"/>
      <x:c r="H29" s="2" t="str"/>
    </x:row>
    <x:row r="30" ht="25" customHeight="1">
      <x:c r="A30" s="7" t="d">
        <x:v>2003-05-01T00:00:00.000Z</x:v>
      </x:c>
      <x:c r="B30" s="6" t="str">
        <x:v>May-03</x:v>
      </x:c>
      <x:c r="C30" s="9" t="n">
        <x:v>4206.3</x:v>
      </x:c>
      <x:c r="D30" s="9" t="n">
        <x:v>4223.34</x:v>
      </x:c>
      <x:c r="E30" s="9" t="n">
        <x:v>6481.8</x:v>
      </x:c>
      <x:c r="F30" s="9"/>
      <x:c r="G30" s="9"/>
      <x:c r="H30" s="6" t="str"/>
    </x:row>
    <x:row r="31" ht="25" customHeight="1">
      <x:c r="A31" s="8" t="d">
        <x:v>2003-06-01T00:00:00.000Z</x:v>
      </x:c>
      <x:c r="B31" s="2" t="str">
        <x:v>Jun-03</x:v>
      </x:c>
      <x:c r="C31" s="10" t="n">
        <x:v>5838.8</x:v>
      </x:c>
      <x:c r="D31" s="10" t="n">
        <x:v>11272.74</x:v>
      </x:c>
      <x:c r="E31" s="10" t="n">
        <x:v>13406.4</x:v>
      </x:c>
      <x:c r="F31" s="10"/>
      <x:c r="G31" s="10"/>
      <x:c r="H31" s="2" t="str"/>
    </x:row>
    <x:row r="32" ht="25" customHeight="1">
      <x:c r="A32" s="7" t="d">
        <x:v>2003-07-01T00:00:00.000Z</x:v>
      </x:c>
      <x:c r="B32" s="6" t="str">
        <x:v>Jul-03</x:v>
      </x:c>
      <x:c r="C32" s="9" t="n">
        <x:v>2917.2</x:v>
      </x:c>
      <x:c r="D32" s="9" t="n">
        <x:v>1621.3</x:v>
      </x:c>
      <x:c r="E32" s="9" t="n">
        <x:v>3596.2</x:v>
      </x:c>
      <x:c r="F32" s="9"/>
      <x:c r="G32" s="9"/>
      <x:c r="H32" s="6" t="str"/>
    </x:row>
    <x:row r="33" ht="25" customHeight="1">
      <x:c r="A33" s="8" t="d">
        <x:v>2003-08-01T00:00:00.000Z</x:v>
      </x:c>
      <x:c r="B33" s="2" t="str">
        <x:v>Aug-03</x:v>
      </x:c>
      <x:c r="C33" s="10" t="n">
        <x:v>6167.5</x:v>
      </x:c>
      <x:c r="D33" s="10" t="n">
        <x:v>3948.58</x:v>
      </x:c>
      <x:c r="E33" s="10" t="n">
        <x:v>4643.3</x:v>
      </x:c>
      <x:c r="F33" s="10"/>
      <x:c r="G33" s="10"/>
      <x:c r="H33" s="2" t="str"/>
    </x:row>
    <x:row r="34" ht="25" customHeight="1">
      <x:c r="A34" s="7" t="d">
        <x:v>2003-09-01T00:00:00.000Z</x:v>
      </x:c>
      <x:c r="B34" s="6" t="str">
        <x:v>Sep-03</x:v>
      </x:c>
      <x:c r="C34" s="9" t="n">
        <x:v>8473.9</x:v>
      </x:c>
      <x:c r="D34" s="9" t="n">
        <x:v>6367.49</x:v>
      </x:c>
      <x:c r="E34" s="9" t="n">
        <x:v>7115.8</x:v>
      </x:c>
      <x:c r="F34" s="9"/>
      <x:c r="G34" s="9"/>
      <x:c r="H34" s="6" t="str"/>
    </x:row>
    <x:row r="35" ht="25" customHeight="1">
      <x:c r="A35" s="8" t="d">
        <x:v>2003-10-01T00:00:00.000Z</x:v>
      </x:c>
      <x:c r="B35" s="2" t="str">
        <x:v>Oct-03</x:v>
      </x:c>
      <x:c r="C35" s="10" t="n">
        <x:v>7715.5</x:v>
      </x:c>
      <x:c r="D35" s="10" t="n">
        <x:v>3876.78</x:v>
      </x:c>
      <x:c r="E35" s="10" t="n">
        <x:v>4384.6</x:v>
      </x:c>
      <x:c r="F35" s="10"/>
      <x:c r="G35" s="10"/>
      <x:c r="H35" s="2" t="str"/>
    </x:row>
    <x:row r="36" ht="25" customHeight="1">
      <x:c r="A36" s="7" t="d">
        <x:v>2003-11-01T00:00:00.000Z</x:v>
      </x:c>
      <x:c r="B36" s="6" t="str">
        <x:v>Nov-03</x:v>
      </x:c>
      <x:c r="C36" s="9" t="n">
        <x:v>7307.3</x:v>
      </x:c>
      <x:c r="D36" s="9" t="n">
        <x:v>6709.93</x:v>
      </x:c>
      <x:c r="E36" s="9" t="n">
        <x:v>7083.4</x:v>
      </x:c>
      <x:c r="F36" s="9"/>
      <x:c r="G36" s="9"/>
      <x:c r="H36" s="6" t="str"/>
    </x:row>
    <x:row r="37" ht="25" customHeight="1">
      <x:c r="A37" s="8" t="d">
        <x:v>2003-12-01T00:00:00.000Z</x:v>
      </x:c>
      <x:c r="B37" s="2" t="str">
        <x:v>Dec-03</x:v>
      </x:c>
      <x:c r="C37" s="10" t="n">
        <x:v>3372.8</x:v>
      </x:c>
      <x:c r="D37" s="10" t="n">
        <x:v>2003.15</x:v>
      </x:c>
      <x:c r="E37" s="10" t="n">
        <x:v>3542.7</x:v>
      </x:c>
      <x:c r="F37" s="10"/>
      <x:c r="G37" s="10"/>
      <x:c r="H37" s="2" t="str"/>
    </x:row>
    <x:row r="38" ht="25" customHeight="1">
      <x:c r="A38" s="7" t="d">
        <x:v>2004-01-01T00:00:00.000Z</x:v>
      </x:c>
      <x:c r="B38" s="6" t="str">
        <x:v>Jan-04</x:v>
      </x:c>
      <x:c r="C38" s="9" t="n">
        <x:v>2309.8</x:v>
      </x:c>
      <x:c r="D38" s="9" t="n">
        <x:v>3932.02</x:v>
      </x:c>
      <x:c r="E38" s="9" t="n">
        <x:v>4815.5</x:v>
      </x:c>
      <x:c r="F38" s="9"/>
      <x:c r="G38" s="9"/>
      <x:c r="H38" s="6" t="str"/>
    </x:row>
    <x:row r="39" ht="25" customHeight="1">
      <x:c r="A39" s="8" t="d">
        <x:v>2004-02-01T00:00:00.000Z</x:v>
      </x:c>
      <x:c r="B39" s="2" t="str">
        <x:v>Feb-04</x:v>
      </x:c>
      <x:c r="C39" s="10" t="n">
        <x:v>2245.9</x:v>
      </x:c>
      <x:c r="D39" s="10" t="n">
        <x:v>2993.41</x:v>
      </x:c>
      <x:c r="E39" s="10" t="n">
        <x:v>5635.6</x:v>
      </x:c>
      <x:c r="F39" s="10"/>
      <x:c r="G39" s="10"/>
      <x:c r="H39" s="2" t="str"/>
    </x:row>
    <x:row r="40" ht="25" customHeight="1">
      <x:c r="A40" s="7" t="d">
        <x:v>2004-03-01T00:00:00.000Z</x:v>
      </x:c>
      <x:c r="B40" s="6" t="str">
        <x:v>Mar-04</x:v>
      </x:c>
      <x:c r="C40" s="9" t="n">
        <x:v>2543.1</x:v>
      </x:c>
      <x:c r="D40" s="9" t="n">
        <x:v>7387.61</x:v>
      </x:c>
      <x:c r="E40" s="9" t="n">
        <x:v>10939.7</x:v>
      </x:c>
      <x:c r="F40" s="9"/>
      <x:c r="G40" s="9"/>
      <x:c r="H40" s="6" t="str"/>
    </x:row>
    <x:row r="41" ht="25" customHeight="1">
      <x:c r="A41" s="8" t="d">
        <x:v>2004-04-01T00:00:00.000Z</x:v>
      </x:c>
      <x:c r="B41" s="2" t="str">
        <x:v>Apr-04</x:v>
      </x:c>
      <x:c r="C41" s="10" t="n">
        <x:v>7485.4</x:v>
      </x:c>
      <x:c r="D41" s="10" t="n">
        <x:v>11278.57</x:v>
      </x:c>
      <x:c r="E41" s="10" t="n">
        <x:v>13561.5</x:v>
      </x:c>
      <x:c r="F41" s="10"/>
      <x:c r="G41" s="10"/>
      <x:c r="H41" s="2" t="str"/>
    </x:row>
    <x:row r="42" ht="25" customHeight="1">
      <x:c r="A42" s="7" t="d">
        <x:v>2004-05-01T00:00:00.000Z</x:v>
      </x:c>
      <x:c r="B42" s="6" t="str">
        <x:v>May-04</x:v>
      </x:c>
      <x:c r="C42" s="9" t="n">
        <x:v>14009.5</x:v>
      </x:c>
      <x:c r="D42" s="9" t="n">
        <x:v>1560.64</x:v>
      </x:c>
      <x:c r="E42" s="9" t="n">
        <x:v>4343.3</x:v>
      </x:c>
      <x:c r="F42" s="9"/>
      <x:c r="G42" s="9"/>
      <x:c r="H42" s="6" t="str"/>
    </x:row>
    <x:row r="43" ht="25" customHeight="1">
      <x:c r="A43" s="8" t="d">
        <x:v>2004-06-01T00:00:00.000Z</x:v>
      </x:c>
      <x:c r="B43" s="2" t="str">
        <x:v>Jun-04</x:v>
      </x:c>
      <x:c r="C43" s="10" t="n">
        <x:v>4185.9</x:v>
      </x:c>
      <x:c r="D43" s="10" t="n">
        <x:v>5728.62</x:v>
      </x:c>
      <x:c r="E43" s="10" t="n">
        <x:v>10431.1</x:v>
      </x:c>
      <x:c r="F43" s="10"/>
      <x:c r="G43" s="10"/>
      <x:c r="H43" s="2" t="str"/>
    </x:row>
    <x:row r="44" ht="25" customHeight="1">
      <x:c r="A44" s="7" t="d">
        <x:v>2004-07-01T00:00:00.000Z</x:v>
      </x:c>
      <x:c r="B44" s="6" t="str">
        <x:v>Jul-04</x:v>
      </x:c>
      <x:c r="C44" s="9" t="n">
        <x:v>2527.4</x:v>
      </x:c>
      <x:c r="D44" s="9" t="n">
        <x:v>6627.35</x:v>
      </x:c>
      <x:c r="E44" s="9" t="n">
        <x:v>7560.6</x:v>
      </x:c>
      <x:c r="F44" s="9"/>
      <x:c r="G44" s="9"/>
      <x:c r="H44" s="6" t="str"/>
    </x:row>
    <x:row r="45" ht="25" customHeight="1">
      <x:c r="A45" s="8" t="d">
        <x:v>2004-08-01T00:00:00.000Z</x:v>
      </x:c>
      <x:c r="B45" s="2" t="str">
        <x:v>Aug-04</x:v>
      </x:c>
      <x:c r="C45" s="10" t="n">
        <x:v>5516.8</x:v>
      </x:c>
      <x:c r="D45" s="10" t="n">
        <x:v>7108.54</x:v>
      </x:c>
      <x:c r="E45" s="10" t="n">
        <x:v>9383.8</x:v>
      </x:c>
      <x:c r="F45" s="10"/>
      <x:c r="G45" s="10"/>
      <x:c r="H45" s="2" t="str"/>
    </x:row>
    <x:row r="46" ht="25" customHeight="1">
      <x:c r="A46" s="7" t="d">
        <x:v>2004-09-01T00:00:00.000Z</x:v>
      </x:c>
      <x:c r="B46" s="6" t="str">
        <x:v>Sep-04</x:v>
      </x:c>
      <x:c r="C46" s="9" t="n">
        <x:v>4295.5</x:v>
      </x:c>
      <x:c r="D46" s="9" t="n">
        <x:v>4826.02</x:v>
      </x:c>
      <x:c r="E46" s="9" t="n">
        <x:v>8862.3</x:v>
      </x:c>
      <x:c r="F46" s="9"/>
      <x:c r="G46" s="9"/>
      <x:c r="H46" s="6" t="str"/>
    </x:row>
    <x:row r="47" ht="25" customHeight="1">
      <x:c r="A47" s="8" t="d">
        <x:v>2004-10-01T00:00:00.000Z</x:v>
      </x:c>
      <x:c r="B47" s="2" t="str">
        <x:v>Oct-04</x:v>
      </x:c>
      <x:c r="C47" s="10" t="n">
        <x:v>3472.2</x:v>
      </x:c>
      <x:c r="D47" s="10" t="n">
        <x:v>8065.43</x:v>
      </x:c>
      <x:c r="E47" s="10" t="n">
        <x:v>8978.4</x:v>
      </x:c>
      <x:c r="F47" s="10"/>
      <x:c r="G47" s="10"/>
      <x:c r="H47" s="2" t="str"/>
    </x:row>
    <x:row r="48" ht="25" customHeight="1">
      <x:c r="A48" s="7" t="d">
        <x:v>2004-11-01T00:00:00.000Z</x:v>
      </x:c>
      <x:c r="B48" s="6" t="str">
        <x:v>Nov-04</x:v>
      </x:c>
      <x:c r="C48" s="9" t="n">
        <x:v>3222.2</x:v>
      </x:c>
      <x:c r="D48" s="9" t="n">
        <x:v>2351.91</x:v>
      </x:c>
      <x:c r="E48" s="9" t="n">
        <x:v>3492.3</x:v>
      </x:c>
      <x:c r="F48" s="9"/>
      <x:c r="G48" s="9"/>
      <x:c r="H48" s="6" t="str"/>
    </x:row>
    <x:row r="49" ht="25" customHeight="1">
      <x:c r="A49" s="8" t="d">
        <x:v>2004-12-01T00:00:00.000Z</x:v>
      </x:c>
      <x:c r="B49" s="2" t="str">
        <x:v>Dec-04</x:v>
      </x:c>
      <x:c r="C49" s="10" t="n">
        <x:v>5244.8</x:v>
      </x:c>
      <x:c r="D49" s="10" t="n">
        <x:v>6505.46</x:v>
      </x:c>
      <x:c r="E49" s="10" t="n">
        <x:v>6861.5</x:v>
      </x:c>
      <x:c r="F49" s="10"/>
      <x:c r="G49" s="10"/>
      <x:c r="H49" s="2" t="str"/>
    </x:row>
    <x:row r="50" ht="25" customHeight="1">
      <x:c r="A50" s="7" t="d">
        <x:v>2005-01-01T00:00:00.000Z</x:v>
      </x:c>
      <x:c r="B50" s="6" t="str">
        <x:v>Jan-05</x:v>
      </x:c>
      <x:c r="C50" s="9" t="n">
        <x:v>1455.7</x:v>
      </x:c>
      <x:c r="D50" s="9" t="n">
        <x:v>5042.78</x:v>
      </x:c>
      <x:c r="E50" s="9" t="n">
        <x:v>9190.1</x:v>
      </x:c>
      <x:c r="F50" s="9"/>
      <x:c r="G50" s="9"/>
      <x:c r="H50" s="6" t="str"/>
    </x:row>
    <x:row r="51" ht="25" customHeight="1">
      <x:c r="A51" s="8" t="d">
        <x:v>2005-02-01T00:00:00.000Z</x:v>
      </x:c>
      <x:c r="B51" s="2" t="str">
        <x:v>Feb-05</x:v>
      </x:c>
      <x:c r="C51" s="10" t="n">
        <x:v>5332.1</x:v>
      </x:c>
      <x:c r="D51" s="10" t="n">
        <x:v>3623.61</x:v>
      </x:c>
      <x:c r="E51" s="10" t="n">
        <x:v>4532.8</x:v>
      </x:c>
      <x:c r="F51" s="10"/>
      <x:c r="G51" s="10"/>
      <x:c r="H51" s="2" t="str"/>
    </x:row>
    <x:row r="52" ht="25" customHeight="1">
      <x:c r="A52" s="7" t="d">
        <x:v>2005-03-01T00:00:00.000Z</x:v>
      </x:c>
      <x:c r="B52" s="6" t="str">
        <x:v>Mar-05</x:v>
      </x:c>
      <x:c r="C52" s="9" t="n">
        <x:v>5044.3</x:v>
      </x:c>
      <x:c r="D52" s="9" t="n">
        <x:v>12545.82</x:v>
      </x:c>
      <x:c r="E52" s="9" t="n">
        <x:v>14319.7</x:v>
      </x:c>
      <x:c r="F52" s="9"/>
      <x:c r="G52" s="9"/>
      <x:c r="H52" s="6" t="str"/>
    </x:row>
    <x:row r="53" ht="25" customHeight="1">
      <x:c r="A53" s="8" t="d">
        <x:v>2005-04-01T00:00:00.000Z</x:v>
      </x:c>
      <x:c r="B53" s="2" t="str">
        <x:v>Apr-05</x:v>
      </x:c>
      <x:c r="C53" s="10" t="n">
        <x:v>565.6</x:v>
      </x:c>
      <x:c r="D53" s="10" t="n">
        <x:v>6110.71</x:v>
      </x:c>
      <x:c r="E53" s="10" t="n">
        <x:v>9459.6</x:v>
      </x:c>
      <x:c r="F53" s="10"/>
      <x:c r="G53" s="10"/>
      <x:c r="H53" s="2" t="str"/>
    </x:row>
    <x:row r="54" ht="25" customHeight="1">
      <x:c r="A54" s="7" t="d">
        <x:v>2005-05-01T00:00:00.000Z</x:v>
      </x:c>
      <x:c r="B54" s="6" t="str">
        <x:v>May-05</x:v>
      </x:c>
      <x:c r="C54" s="9" t="n">
        <x:v>5154.2</x:v>
      </x:c>
      <x:c r="D54" s="9" t="n">
        <x:v>6833.8</x:v>
      </x:c>
      <x:c r="E54" s="9" t="n">
        <x:v>10178.7</x:v>
      </x:c>
      <x:c r="F54" s="9"/>
      <x:c r="G54" s="9"/>
      <x:c r="H54" s="6" t="str"/>
    </x:row>
    <x:row r="55" ht="25" customHeight="1">
      <x:c r="A55" s="8" t="d">
        <x:v>2005-06-01T00:00:00.000Z</x:v>
      </x:c>
      <x:c r="B55" s="2" t="str">
        <x:v>Jun-05</x:v>
      </x:c>
      <x:c r="C55" s="10" t="n">
        <x:v>5762</x:v>
      </x:c>
      <x:c r="D55" s="10" t="n">
        <x:v>5987.06</x:v>
      </x:c>
      <x:c r="E55" s="10" t="n">
        <x:v>11362.5</x:v>
      </x:c>
      <x:c r="F55" s="10"/>
      <x:c r="G55" s="10"/>
      <x:c r="H55" s="2" t="str"/>
    </x:row>
    <x:row r="56" ht="25" customHeight="1">
      <x:c r="A56" s="7" t="d">
        <x:v>2005-07-01T00:00:00.000Z</x:v>
      </x:c>
      <x:c r="B56" s="6" t="str">
        <x:v>Jul-05</x:v>
      </x:c>
      <x:c r="C56" s="9" t="n">
        <x:v>9527.8</x:v>
      </x:c>
      <x:c r="D56" s="9" t="n">
        <x:v>7964.47</x:v>
      </x:c>
      <x:c r="E56" s="9" t="n">
        <x:v>8844.9</x:v>
      </x:c>
      <x:c r="F56" s="9"/>
      <x:c r="G56" s="9"/>
      <x:c r="H56" s="6" t="str"/>
    </x:row>
    <x:row r="57" ht="25" customHeight="1">
      <x:c r="A57" s="8" t="d">
        <x:v>2005-08-01T00:00:00.000Z</x:v>
      </x:c>
      <x:c r="B57" s="2" t="str">
        <x:v>Aug-05</x:v>
      </x:c>
      <x:c r="C57" s="10" t="n">
        <x:v>3088.9</x:v>
      </x:c>
      <x:c r="D57" s="10" t="n">
        <x:v>11386.64</x:v>
      </x:c>
      <x:c r="E57" s="10" t="n">
        <x:v>11457.1</x:v>
      </x:c>
      <x:c r="F57" s="10"/>
      <x:c r="G57" s="10"/>
      <x:c r="H57" s="2" t="str"/>
    </x:row>
    <x:row r="58" ht="25" customHeight="1">
      <x:c r="A58" s="7" t="d">
        <x:v>2005-09-01T00:00:00.000Z</x:v>
      </x:c>
      <x:c r="B58" s="6" t="str">
        <x:v>Sep-05</x:v>
      </x:c>
      <x:c r="C58" s="9" t="n">
        <x:v>4809.4</x:v>
      </x:c>
      <x:c r="D58" s="9" t="n">
        <x:v>7084.34</x:v>
      </x:c>
      <x:c r="E58" s="9" t="n">
        <x:v>10482.1</x:v>
      </x:c>
      <x:c r="F58" s="9"/>
      <x:c r="G58" s="9"/>
      <x:c r="H58" s="6" t="str"/>
    </x:row>
    <x:row r="59" ht="25" customHeight="1">
      <x:c r="A59" s="8" t="d">
        <x:v>2005-10-01T00:00:00.000Z</x:v>
      </x:c>
      <x:c r="B59" s="2" t="str">
        <x:v>Oct-05</x:v>
      </x:c>
      <x:c r="C59" s="10" t="n">
        <x:v>3808.4</x:v>
      </x:c>
      <x:c r="D59" s="10" t="n">
        <x:v>8883.95</x:v>
      </x:c>
      <x:c r="E59" s="10" t="n">
        <x:v>12408.8</x:v>
      </x:c>
      <x:c r="F59" s="10"/>
      <x:c r="G59" s="10"/>
      <x:c r="H59" s="2" t="str"/>
    </x:row>
    <x:row r="60" ht="25" customHeight="1">
      <x:c r="A60" s="7" t="d">
        <x:v>2005-11-01T00:00:00.000Z</x:v>
      </x:c>
      <x:c r="B60" s="6" t="str">
        <x:v>Nov-05</x:v>
      </x:c>
      <x:c r="C60" s="9" t="n">
        <x:v>5312.3</x:v>
      </x:c>
      <x:c r="D60" s="9" t="n">
        <x:v>3820.36</x:v>
      </x:c>
      <x:c r="E60" s="9" t="n">
        <x:v>4374.4</x:v>
      </x:c>
      <x:c r="F60" s="9"/>
      <x:c r="G60" s="9"/>
      <x:c r="H60" s="6" t="str"/>
    </x:row>
    <x:row r="61" ht="25" customHeight="1">
      <x:c r="A61" s="8" t="d">
        <x:v>2005-12-01T00:00:00.000Z</x:v>
      </x:c>
      <x:c r="B61" s="2" t="str">
        <x:v>Dec-05</x:v>
      </x:c>
      <x:c r="C61" s="10" t="n">
        <x:v>3254.6</x:v>
      </x:c>
      <x:c r="D61" s="10" t="n">
        <x:v>6139.83</x:v>
      </x:c>
      <x:c r="E61" s="10" t="n">
        <x:v>8986.3</x:v>
      </x:c>
      <x:c r="F61" s="10"/>
      <x:c r="G61" s="10"/>
      <x:c r="H61" s="2" t="str"/>
    </x:row>
    <x:row r="62" ht="25" customHeight="1">
      <x:c r="A62" s="7" t="d">
        <x:v>2006-01-01T00:00:00.000Z</x:v>
      </x:c>
      <x:c r="B62" s="6" t="str">
        <x:v>Jan-06</x:v>
      </x:c>
      <x:c r="C62" s="9" t="n">
        <x:v>5481</x:v>
      </x:c>
      <x:c r="D62" s="9" t="n">
        <x:v>12797.17</x:v>
      </x:c>
      <x:c r="E62" s="9" t="n">
        <x:v>12855</x:v>
      </x:c>
      <x:c r="F62" s="9"/>
      <x:c r="G62" s="9"/>
      <x:c r="H62" s="6" t="str"/>
    </x:row>
    <x:row r="63" ht="25" customHeight="1">
      <x:c r="A63" s="8" t="d">
        <x:v>2006-02-01T00:00:00.000Z</x:v>
      </x:c>
      <x:c r="B63" s="2" t="str">
        <x:v>Feb-06</x:v>
      </x:c>
      <x:c r="C63" s="10" t="n">
        <x:v>4224.6</x:v>
      </x:c>
      <x:c r="D63" s="10" t="n">
        <x:v>4515.65</x:v>
      </x:c>
      <x:c r="E63" s="10" t="n">
        <x:v>4603.6</x:v>
      </x:c>
      <x:c r="F63" s="10"/>
      <x:c r="G63" s="10"/>
      <x:c r="H63" s="2" t="str"/>
    </x:row>
    <x:row r="64" ht="25" customHeight="1">
      <x:c r="A64" s="7" t="d">
        <x:v>2006-03-01T00:00:00.000Z</x:v>
      </x:c>
      <x:c r="B64" s="6" t="str">
        <x:v>Mar-06</x:v>
      </x:c>
      <x:c r="C64" s="9" t="n">
        <x:v>2474.2</x:v>
      </x:c>
      <x:c r="D64" s="9" t="n">
        <x:v>13365.3</x:v>
      </x:c>
      <x:c r="E64" s="9" t="n">
        <x:v>16397.3</x:v>
      </x:c>
      <x:c r="F64" s="9"/>
      <x:c r="G64" s="9"/>
      <x:c r="H64" s="6" t="str"/>
    </x:row>
    <x:row r="65" ht="25" customHeight="1">
      <x:c r="A65" s="8" t="d">
        <x:v>2006-04-01T00:00:00.000Z</x:v>
      </x:c>
      <x:c r="B65" s="2" t="str">
        <x:v>Apr-06</x:v>
      </x:c>
      <x:c r="C65" s="10" t="n">
        <x:v>1215.3</x:v>
      </x:c>
      <x:c r="D65" s="10" t="n">
        <x:v>15885.14</x:v>
      </x:c>
      <x:c r="E65" s="10" t="n">
        <x:v>15924.3</x:v>
      </x:c>
      <x:c r="F65" s="10"/>
      <x:c r="G65" s="10"/>
      <x:c r="H65" s="2" t="str"/>
    </x:row>
    <x:row r="66" ht="25" customHeight="1">
      <x:c r="A66" s="7" t="d">
        <x:v>2006-05-01T00:00:00.000Z</x:v>
      </x:c>
      <x:c r="B66" s="6" t="str">
        <x:v>May-06</x:v>
      </x:c>
      <x:c r="C66" s="9" t="n">
        <x:v>6899</x:v>
      </x:c>
      <x:c r="D66" s="9" t="n">
        <x:v>6619.2</x:v>
      </x:c>
      <x:c r="E66" s="9" t="n">
        <x:v>9600.8</x:v>
      </x:c>
      <x:c r="F66" s="9"/>
      <x:c r="G66" s="9"/>
      <x:c r="H66" s="6" t="str"/>
    </x:row>
    <x:row r="67" ht="25" customHeight="1">
      <x:c r="A67" s="8" t="d">
        <x:v>2006-06-01T00:00:00.000Z</x:v>
      </x:c>
      <x:c r="B67" s="2" t="str">
        <x:v>Jun-06</x:v>
      </x:c>
      <x:c r="C67" s="10" t="n">
        <x:v>6257.9</x:v>
      </x:c>
      <x:c r="D67" s="10" t="n">
        <x:v>13314.53</x:v>
      </x:c>
      <x:c r="E67" s="10" t="n">
        <x:v>15397.2</x:v>
      </x:c>
      <x:c r="F67" s="10"/>
      <x:c r="G67" s="10"/>
      <x:c r="H67" s="2" t="str"/>
    </x:row>
    <x:row r="68" ht="25" customHeight="1">
      <x:c r="A68" s="7" t="d">
        <x:v>2006-07-01T00:00:00.000Z</x:v>
      </x:c>
      <x:c r="B68" s="6" t="str">
        <x:v>Jul-06</x:v>
      </x:c>
      <x:c r="C68" s="9" t="n">
        <x:v>8460.3</x:v>
      </x:c>
      <x:c r="D68" s="9" t="n">
        <x:v>5364.87</x:v>
      </x:c>
      <x:c r="E68" s="9" t="n">
        <x:v>8043.9</x:v>
      </x:c>
      <x:c r="F68" s="9"/>
      <x:c r="G68" s="9"/>
      <x:c r="H68" s="6" t="str"/>
    </x:row>
    <x:row r="69" ht="25" customHeight="1">
      <x:c r="A69" s="8" t="d">
        <x:v>2006-08-01T00:00:00.000Z</x:v>
      </x:c>
      <x:c r="B69" s="2" t="str">
        <x:v>Aug-06</x:v>
      </x:c>
      <x:c r="C69" s="10" t="n">
        <x:v>6400.3</x:v>
      </x:c>
      <x:c r="D69" s="10" t="n">
        <x:v>14698.63</x:v>
      </x:c>
      <x:c r="E69" s="10" t="n">
        <x:v>18429.9</x:v>
      </x:c>
      <x:c r="F69" s="10"/>
      <x:c r="G69" s="10"/>
      <x:c r="H69" s="2" t="str"/>
    </x:row>
    <x:row r="70" ht="25" customHeight="1">
      <x:c r="A70" s="7" t="d">
        <x:v>2006-09-01T00:00:00.000Z</x:v>
      </x:c>
      <x:c r="B70" s="6" t="str">
        <x:v>Sep-06</x:v>
      </x:c>
      <x:c r="C70" s="9" t="n">
        <x:v>3617.5</x:v>
      </x:c>
      <x:c r="D70" s="9" t="n">
        <x:v>9152.34</x:v>
      </x:c>
      <x:c r="E70" s="9" t="n">
        <x:v>11487.1</x:v>
      </x:c>
      <x:c r="F70" s="9"/>
      <x:c r="G70" s="9"/>
      <x:c r="H70" s="6" t="str"/>
    </x:row>
    <x:row r="71" ht="25" customHeight="1">
      <x:c r="A71" s="8" t="d">
        <x:v>2006-10-01T00:00:00.000Z</x:v>
      </x:c>
      <x:c r="B71" s="2" t="str">
        <x:v>Oct-06</x:v>
      </x:c>
      <x:c r="C71" s="10" t="n">
        <x:v>1924.2</x:v>
      </x:c>
      <x:c r="D71" s="10" t="n">
        <x:v>8552.35</x:v>
      </x:c>
      <x:c r="E71" s="10" t="n">
        <x:v>12062.8</x:v>
      </x:c>
      <x:c r="F71" s="10"/>
      <x:c r="G71" s="10"/>
      <x:c r="H71" s="2" t="str"/>
    </x:row>
    <x:row r="72" ht="25" customHeight="1">
      <x:c r="A72" s="7" t="d">
        <x:v>2006-11-01T00:00:00.000Z</x:v>
      </x:c>
      <x:c r="B72" s="6" t="str">
        <x:v>Nov-06</x:v>
      </x:c>
      <x:c r="C72" s="9" t="n">
        <x:v>5099.6</x:v>
      </x:c>
      <x:c r="D72" s="9" t="n">
        <x:v>8118.2</x:v>
      </x:c>
      <x:c r="E72" s="9" t="n">
        <x:v>10012.5</x:v>
      </x:c>
      <x:c r="F72" s="9"/>
      <x:c r="G72" s="9"/>
      <x:c r="H72" s="6" t="str"/>
    </x:row>
    <x:row r="73" ht="25" customHeight="1">
      <x:c r="A73" s="8" t="d">
        <x:v>2006-12-01T00:00:00.000Z</x:v>
      </x:c>
      <x:c r="B73" s="2" t="str">
        <x:v>Dec-06</x:v>
      </x:c>
      <x:c r="C73" s="10" t="n">
        <x:v>4086</x:v>
      </x:c>
      <x:c r="D73" s="10" t="n">
        <x:v>10894.56</x:v>
      </x:c>
      <x:c r="E73" s="10" t="n">
        <x:v>12266</x:v>
      </x:c>
      <x:c r="F73" s="10"/>
      <x:c r="G73" s="10"/>
      <x:c r="H73" s="2" t="str"/>
    </x:row>
    <x:row r="74" ht="25" customHeight="1">
      <x:c r="A74" s="7" t="d">
        <x:v>2007-01-01T00:00:00.000Z</x:v>
      </x:c>
      <x:c r="B74" s="6" t="str">
        <x:v>Jan-07</x:v>
      </x:c>
      <x:c r="C74" s="9" t="n">
        <x:v>5975.9</x:v>
      </x:c>
      <x:c r="D74" s="9" t="n">
        <x:v>7042.36</x:v>
      </x:c>
      <x:c r="E74" s="9" t="n">
        <x:v>8942.7</x:v>
      </x:c>
      <x:c r="F74" s="9"/>
      <x:c r="G74" s="9"/>
      <x:c r="H74" s="6" t="str"/>
    </x:row>
    <x:row r="75" ht="25" customHeight="1">
      <x:c r="A75" s="8" t="d">
        <x:v>2007-02-01T00:00:00.000Z</x:v>
      </x:c>
      <x:c r="B75" s="2" t="str">
        <x:v>Feb-07</x:v>
      </x:c>
      <x:c r="C75" s="10" t="n">
        <x:v>5247.1</x:v>
      </x:c>
      <x:c r="D75" s="10" t="n">
        <x:v>7119.66</x:v>
      </x:c>
      <x:c r="E75" s="10" t="n">
        <x:v>9933.4</x:v>
      </x:c>
      <x:c r="F75" s="10"/>
      <x:c r="G75" s="10"/>
      <x:c r="H75" s="2" t="str"/>
    </x:row>
    <x:row r="76" ht="25" customHeight="1">
      <x:c r="A76" s="7" t="d">
        <x:v>2007-03-01T00:00:00.000Z</x:v>
      </x:c>
      <x:c r="B76" s="6" t="str">
        <x:v>Mar-07</x:v>
      </x:c>
      <x:c r="C76" s="9" t="n">
        <x:v>4290.5</x:v>
      </x:c>
      <x:c r="D76" s="9" t="n">
        <x:v>5258.76</x:v>
      </x:c>
      <x:c r="E76" s="9" t="n">
        <x:v>8491.9</x:v>
      </x:c>
      <x:c r="F76" s="9"/>
      <x:c r="G76" s="9"/>
      <x:c r="H76" s="6" t="str"/>
    </x:row>
    <x:row r="77" ht="25" customHeight="1">
      <x:c r="A77" s="8" t="d">
        <x:v>2007-04-01T00:00:00.000Z</x:v>
      </x:c>
      <x:c r="B77" s="2" t="str">
        <x:v>Apr-07</x:v>
      </x:c>
      <x:c r="C77" s="10" t="n">
        <x:v>2314.6</x:v>
      </x:c>
      <x:c r="D77" s="10" t="n">
        <x:v>11055.58</x:v>
      </x:c>
      <x:c r="E77" s="10" t="n">
        <x:v>14043.4</x:v>
      </x:c>
      <x:c r="F77" s="10"/>
      <x:c r="G77" s="10"/>
      <x:c r="H77" s="2" t="str"/>
    </x:row>
    <x:row r="78" ht="25" customHeight="1">
      <x:c r="A78" s="7" t="d">
        <x:v>2007-05-01T00:00:00.000Z</x:v>
      </x:c>
      <x:c r="B78" s="6" t="str">
        <x:v>May-07</x:v>
      </x:c>
      <x:c r="C78" s="9" t="n">
        <x:v>6647.2</x:v>
      </x:c>
      <x:c r="D78" s="9" t="n">
        <x:v>11451.95</x:v>
      </x:c>
      <x:c r="E78" s="9" t="n">
        <x:v>23215</x:v>
      </x:c>
      <x:c r="F78" s="9"/>
      <x:c r="G78" s="9"/>
      <x:c r="H78" s="6" t="str"/>
    </x:row>
    <x:row r="79" ht="25" customHeight="1">
      <x:c r="A79" s="8" t="d">
        <x:v>2007-06-01T00:00:00.000Z</x:v>
      </x:c>
      <x:c r="B79" s="2" t="str">
        <x:v>Jun-07</x:v>
      </x:c>
      <x:c r="C79" s="10" t="n">
        <x:v>9447.4</x:v>
      </x:c>
      <x:c r="D79" s="10" t="n">
        <x:v>11518.77</x:v>
      </x:c>
      <x:c r="E79" s="10" t="n">
        <x:v>21527</x:v>
      </x:c>
      <x:c r="F79" s="10"/>
      <x:c r="G79" s="10"/>
      <x:c r="H79" s="2" t="str"/>
    </x:row>
    <x:row r="80" ht="25" customHeight="1">
      <x:c r="A80" s="7" t="d">
        <x:v>2007-07-01T00:00:00.000Z</x:v>
      </x:c>
      <x:c r="B80" s="6" t="str">
        <x:v>Jul-07</x:v>
      </x:c>
      <x:c r="C80" s="9" t="n">
        <x:v>5859</x:v>
      </x:c>
      <x:c r="D80" s="9" t="n">
        <x:v>10051.92</x:v>
      </x:c>
      <x:c r="E80" s="9" t="n">
        <x:v>11866.2</x:v>
      </x:c>
      <x:c r="F80" s="9"/>
      <x:c r="G80" s="9"/>
      <x:c r="H80" s="6" t="str"/>
    </x:row>
    <x:row r="81" ht="25" customHeight="1">
      <x:c r="A81" s="8" t="d">
        <x:v>2007-08-01T00:00:00.000Z</x:v>
      </x:c>
      <x:c r="B81" s="2" t="str">
        <x:v>Aug-07</x:v>
      </x:c>
      <x:c r="C81" s="10" t="n">
        <x:v>5810.2</x:v>
      </x:c>
      <x:c r="D81" s="10" t="n">
        <x:v>11234.19</x:v>
      </x:c>
      <x:c r="E81" s="10" t="n">
        <x:v>13923.4</x:v>
      </x:c>
      <x:c r="F81" s="10"/>
      <x:c r="G81" s="10"/>
      <x:c r="H81" s="2" t="str"/>
    </x:row>
    <x:row r="82" ht="25" customHeight="1">
      <x:c r="A82" s="7" t="d">
        <x:v>2007-09-01T00:00:00.000Z</x:v>
      </x:c>
      <x:c r="B82" s="6" t="str">
        <x:v>Sep-07</x:v>
      </x:c>
      <x:c r="C82" s="9" t="n">
        <x:v>6313.2</x:v>
      </x:c>
      <x:c r="D82" s="9" t="n">
        <x:v>15417.79</x:v>
      </x:c>
      <x:c r="E82" s="9" t="n">
        <x:v>18054.7</x:v>
      </x:c>
      <x:c r="F82" s="9"/>
      <x:c r="G82" s="9"/>
      <x:c r="H82" s="6" t="str"/>
    </x:row>
    <x:row r="83" ht="25" customHeight="1">
      <x:c r="A83" s="8" t="d">
        <x:v>2007-10-01T00:00:00.000Z</x:v>
      </x:c>
      <x:c r="B83" s="2" t="str">
        <x:v>Oct-07</x:v>
      </x:c>
      <x:c r="C83" s="10" t="n">
        <x:v>4072.1</x:v>
      </x:c>
      <x:c r="D83" s="10" t="n">
        <x:v>3128.45</x:v>
      </x:c>
      <x:c r="E83" s="10" t="n">
        <x:v>6561.8</x:v>
      </x:c>
      <x:c r="F83" s="10"/>
      <x:c r="G83" s="10"/>
      <x:c r="H83" s="2" t="str"/>
    </x:row>
    <x:row r="84" ht="25" customHeight="1">
      <x:c r="A84" s="7" t="d">
        <x:v>2007-11-01T00:00:00.000Z</x:v>
      </x:c>
      <x:c r="B84" s="6" t="str">
        <x:v>Nov-07</x:v>
      </x:c>
      <x:c r="C84" s="9" t="n">
        <x:v>6781.1</x:v>
      </x:c>
      <x:c r="D84" s="9" t="n">
        <x:v>17499.16</x:v>
      </x:c>
      <x:c r="E84" s="9" t="n">
        <x:v>19137.9</x:v>
      </x:c>
      <x:c r="F84" s="9"/>
      <x:c r="G84" s="9"/>
      <x:c r="H84" s="6" t="str"/>
    </x:row>
    <x:row r="85" ht="25" customHeight="1">
      <x:c r="A85" s="8" t="d">
        <x:v>2007-12-01T00:00:00.000Z</x:v>
      </x:c>
      <x:c r="B85" s="2" t="str">
        <x:v>Dec-07</x:v>
      </x:c>
      <x:c r="C85" s="10" t="n">
        <x:v>5190.3</x:v>
      </x:c>
      <x:c r="D85" s="10" t="n">
        <x:v>10759.22</x:v>
      </x:c>
      <x:c r="E85" s="10" t="n">
        <x:v>12879.1</x:v>
      </x:c>
      <x:c r="F85" s="10"/>
      <x:c r="G85" s="10"/>
      <x:c r="H85" s="2" t="str"/>
    </x:row>
    <x:row r="86" ht="25" customHeight="1">
      <x:c r="A86" s="7" t="d">
        <x:v>2008-01-01T00:00:00.000Z</x:v>
      </x:c>
      <x:c r="B86" s="6" t="str">
        <x:v>Jan-08</x:v>
      </x:c>
      <x:c r="C86" s="9" t="n">
        <x:v>5368.02</x:v>
      </x:c>
      <x:c r="D86" s="9" t="n">
        <x:v>12535.42</x:v>
      </x:c>
      <x:c r="E86" s="9" t="n">
        <x:v>14259.4</x:v>
      </x:c>
      <x:c r="F86" s="9"/>
      <x:c r="G86" s="9"/>
      <x:c r="H86" s="6" t="str"/>
    </x:row>
    <x:row r="87" ht="25" customHeight="1">
      <x:c r="A87" s="8" t="d">
        <x:v>2008-02-01T00:00:00.000Z</x:v>
      </x:c>
      <x:c r="B87" s="2" t="str">
        <x:v>Feb-08</x:v>
      </x:c>
      <x:c r="C87" s="10" t="n">
        <x:v>2568.3</x:v>
      </x:c>
      <x:c r="D87" s="10" t="n">
        <x:v>12681.53</x:v>
      </x:c>
      <x:c r="E87" s="10" t="n">
        <x:v>13739.3</x:v>
      </x:c>
      <x:c r="F87" s="10"/>
      <x:c r="G87" s="10"/>
      <x:c r="H87" s="2" t="str"/>
    </x:row>
    <x:row r="88" ht="25" customHeight="1">
      <x:c r="A88" s="7" t="d">
        <x:v>2008-03-01T00:00:00.000Z</x:v>
      </x:c>
      <x:c r="B88" s="6" t="str">
        <x:v>Mar-08</x:v>
      </x:c>
      <x:c r="C88" s="9" t="n">
        <x:v>4314.29</x:v>
      </x:c>
      <x:c r="D88" s="9" t="n">
        <x:v>19746.74</x:v>
      </x:c>
      <x:c r="E88" s="9" t="n">
        <x:v>20165.89</x:v>
      </x:c>
      <x:c r="F88" s="9"/>
      <x:c r="G88" s="9"/>
      <x:c r="H88" s="6" t="str"/>
    </x:row>
    <x:row r="89" ht="25" customHeight="1">
      <x:c r="A89" s="8" t="d">
        <x:v>2008-04-01T00:00:00.000Z</x:v>
      </x:c>
      <x:c r="B89" s="2" t="str">
        <x:v>Apr-08</x:v>
      </x:c>
      <x:c r="C89" s="10" t="n">
        <x:v>13822.74</x:v>
      </x:c>
      <x:c r="D89" s="10" t="n">
        <x:v>23768.43</x:v>
      </x:c>
      <x:c r="E89" s="10" t="n">
        <x:v>24042.73</x:v>
      </x:c>
      <x:c r="F89" s="10"/>
      <x:c r="G89" s="10"/>
      <x:c r="H89" s="2" t="str"/>
    </x:row>
    <x:row r="90" ht="25" customHeight="1">
      <x:c r="A90" s="7" t="d">
        <x:v>2008-05-01T00:00:00.000Z</x:v>
      </x:c>
      <x:c r="B90" s="6" t="str">
        <x:v>May-08</x:v>
      </x:c>
      <x:c r="C90" s="9" t="n">
        <x:v>26193.02</x:v>
      </x:c>
      <x:c r="D90" s="9" t="n">
        <x:v>11063.75</x:v>
      </x:c>
      <x:c r="E90" s="9" t="n">
        <x:v>15649.43</x:v>
      </x:c>
      <x:c r="F90" s="9"/>
      <x:c r="G90" s="9"/>
      <x:c r="H90" s="6" t="str"/>
    </x:row>
    <x:row r="91" ht="25" customHeight="1">
      <x:c r="A91" s="8" t="d">
        <x:v>2008-06-01T00:00:00.000Z</x:v>
      </x:c>
      <x:c r="B91" s="2" t="str">
        <x:v>Jun-08</x:v>
      </x:c>
      <x:c r="C91" s="10" t="n">
        <x:v>11804.78</x:v>
      </x:c>
      <x:c r="D91" s="10" t="n">
        <x:v>20165.51</x:v>
      </x:c>
      <x:c r="E91" s="10" t="n">
        <x:v>26719.65</x:v>
      </x:c>
      <x:c r="F91" s="10"/>
      <x:c r="G91" s="10"/>
      <x:c r="H91" s="2" t="str"/>
    </x:row>
    <x:row r="92" ht="25" customHeight="1">
      <x:c r="A92" s="7" t="d">
        <x:v>2008-07-01T00:00:00.000Z</x:v>
      </x:c>
      <x:c r="B92" s="6" t="str">
        <x:v>Jul-08</x:v>
      </x:c>
      <x:c r="C92" s="9" t="n">
        <x:v>4464.78</x:v>
      </x:c>
      <x:c r="D92" s="9" t="n">
        <x:v>16045.26</x:v>
      </x:c>
      <x:c r="E92" s="9" t="n">
        <x:v>18484.14</x:v>
      </x:c>
      <x:c r="F92" s="9"/>
      <x:c r="G92" s="9"/>
      <x:c r="H92" s="6" t="str"/>
    </x:row>
    <x:row r="93" ht="25" customHeight="1">
      <x:c r="A93" s="8" t="d">
        <x:v>2008-08-01T00:00:00.000Z</x:v>
      </x:c>
      <x:c r="B93" s="2" t="str">
        <x:v>Aug-08</x:v>
      </x:c>
      <x:c r="C93" s="10" t="n">
        <x:v>10977.3</x:v>
      </x:c>
      <x:c r="D93" s="10" t="n">
        <x:v>14327.53</x:v>
      </x:c>
      <x:c r="E93" s="10" t="n">
        <x:v>18768.61</x:v>
      </x:c>
      <x:c r="F93" s="10"/>
      <x:c r="G93" s="10"/>
      <x:c r="H93" s="2" t="str"/>
    </x:row>
    <x:row r="94" ht="25" customHeight="1">
      <x:c r="A94" s="7" t="d">
        <x:v>2008-09-01T00:00:00.000Z</x:v>
      </x:c>
      <x:c r="B94" s="6" t="str">
        <x:v>Sep-08</x:v>
      </x:c>
      <x:c r="C94" s="9" t="n">
        <x:v>14776.96</x:v>
      </x:c>
      <x:c r="D94" s="9" t="n">
        <x:v>13220.05</x:v>
      </x:c>
      <x:c r="E94" s="9" t="n">
        <x:v>16387.19</x:v>
      </x:c>
      <x:c r="F94" s="9"/>
      <x:c r="G94" s="9"/>
      <x:c r="H94" s="6" t="str"/>
    </x:row>
    <x:row r="95" ht="25" customHeight="1">
      <x:c r="A95" s="8" t="d">
        <x:v>2008-10-01T00:00:00.000Z</x:v>
      </x:c>
      <x:c r="B95" s="2" t="str">
        <x:v>Oct-08</x:v>
      </x:c>
      <x:c r="C95" s="10" t="n">
        <x:v>6449.8</x:v>
      </x:c>
      <x:c r="D95" s="10" t="n">
        <x:v>16317.01</x:v>
      </x:c>
      <x:c r="E95" s="10" t="n">
        <x:v>18753.35</x:v>
      </x:c>
      <x:c r="F95" s="10"/>
      <x:c r="G95" s="10"/>
      <x:c r="H95" s="2" t="str"/>
    </x:row>
    <x:row r="96" ht="25" customHeight="1">
      <x:c r="A96" s="7" t="d">
        <x:v>2008-11-01T00:00:00.000Z</x:v>
      </x:c>
      <x:c r="B96" s="6" t="str">
        <x:v>Nov-08</x:v>
      </x:c>
      <x:c r="C96" s="9" t="n">
        <x:v>14354.4</x:v>
      </x:c>
      <x:c r="D96" s="9" t="n">
        <x:v>9359.53</x:v>
      </x:c>
      <x:c r="E96" s="9" t="n">
        <x:v>9368.51</x:v>
      </x:c>
      <x:c r="F96" s="9"/>
      <x:c r="G96" s="9"/>
      <x:c r="H96" s="6" t="str"/>
    </x:row>
    <x:row r="97" ht="25" customHeight="1">
      <x:c r="A97" s="8" t="d">
        <x:v>2008-12-01T00:00:00.000Z</x:v>
      </x:c>
      <x:c r="B97" s="2" t="str">
        <x:v>Dec-08</x:v>
      </x:c>
      <x:c r="C97" s="10" t="n">
        <x:v>989.14</x:v>
      </x:c>
      <x:c r="D97" s="10" t="n">
        <x:v>3265.54</x:v>
      </x:c>
      <x:c r="E97" s="10" t="n">
        <x:v>4303.56</x:v>
      </x:c>
      <x:c r="F97" s="10"/>
      <x:c r="G97" s="10"/>
      <x:c r="H97" s="2" t="str"/>
    </x:row>
    <x:row r="98" ht="25" customHeight="1">
      <x:c r="A98" s="7" t="d">
        <x:v>2009-01-01T00:00:00.000Z</x:v>
      </x:c>
      <x:c r="B98" s="6" t="str">
        <x:v>Jan-09</x:v>
      </x:c>
      <x:c r="C98" s="9" t="n">
        <x:v>10144.6</x:v>
      </x:c>
      <x:c r="D98" s="9" t="n">
        <x:v>8690.55</x:v>
      </x:c>
      <x:c r="E98" s="9" t="n">
        <x:v>10264.4</x:v>
      </x:c>
      <x:c r="F98" s="9"/>
      <x:c r="G98" s="9"/>
      <x:c r="H98" s="6" t="str"/>
    </x:row>
    <x:row r="99" ht="25" customHeight="1">
      <x:c r="A99" s="8" t="d">
        <x:v>2009-02-01T00:00:00.000Z</x:v>
      </x:c>
      <x:c r="B99" s="2" t="str">
        <x:v>Feb-09</x:v>
      </x:c>
      <x:c r="C99" s="10" t="n">
        <x:v>4888.6</x:v>
      </x:c>
      <x:c r="D99" s="10" t="n">
        <x:v>8360.85</x:v>
      </x:c>
      <x:c r="E99" s="10" t="n">
        <x:v>10038.2</x:v>
      </x:c>
      <x:c r="F99" s="10"/>
      <x:c r="G99" s="10"/>
      <x:c r="H99" s="2" t="str"/>
    </x:row>
    <x:row r="100" ht="25" customHeight="1">
      <x:c r="A100" s="7" t="d">
        <x:v>2009-03-01T00:00:00.000Z</x:v>
      </x:c>
      <x:c r="B100" s="6" t="str">
        <x:v>Mar-09</x:v>
      </x:c>
      <x:c r="C100" s="9" t="n">
        <x:v>3965.2</x:v>
      </x:c>
      <x:c r="D100" s="9" t="n">
        <x:v>6751.49</x:v>
      </x:c>
      <x:c r="E100" s="9" t="n">
        <x:v>8166.9</x:v>
      </x:c>
      <x:c r="F100" s="9"/>
      <x:c r="G100" s="9"/>
      <x:c r="H100" s="6" t="str"/>
    </x:row>
    <x:row r="101" ht="25" customHeight="1">
      <x:c r="A101" s="8" t="d">
        <x:v>2009-04-01T00:00:00.000Z</x:v>
      </x:c>
      <x:c r="B101" s="2" t="str">
        <x:v>Apr-09</x:v>
      </x:c>
      <x:c r="C101" s="10" t="n">
        <x:v>17682.2</x:v>
      </x:c>
      <x:c r="D101" s="10" t="n">
        <x:v>10479.96</x:v>
      </x:c>
      <x:c r="E101" s="10" t="n">
        <x:v>12708.4</x:v>
      </x:c>
      <x:c r="F101" s="10"/>
      <x:c r="G101" s="10"/>
      <x:c r="H101" s="2" t="str"/>
    </x:row>
    <x:row r="102" ht="25" customHeight="1">
      <x:c r="A102" s="7" t="d">
        <x:v>2009-05-01T00:00:00.000Z</x:v>
      </x:c>
      <x:c r="B102" s="6" t="str">
        <x:v>May-09</x:v>
      </x:c>
      <x:c r="C102" s="9" t="n">
        <x:v>3958.7</x:v>
      </x:c>
      <x:c r="D102" s="9" t="n">
        <x:v>8300.23</x:v>
      </x:c>
      <x:c r="E102" s="9" t="n">
        <x:v>11994.5</x:v>
      </x:c>
      <x:c r="F102" s="9"/>
      <x:c r="G102" s="9"/>
      <x:c r="H102" s="6" t="str"/>
    </x:row>
    <x:row r="103" ht="25" customHeight="1">
      <x:c r="A103" s="8" t="d">
        <x:v>2009-06-01T00:00:00.000Z</x:v>
      </x:c>
      <x:c r="B103" s="2" t="str">
        <x:v>Jun-09</x:v>
      </x:c>
      <x:c r="C103" s="10" t="n">
        <x:v>11838.6</x:v>
      </x:c>
      <x:c r="D103" s="10" t="n">
        <x:v>10575.04</x:v>
      </x:c>
      <x:c r="E103" s="10" t="n">
        <x:v>13302.3</x:v>
      </x:c>
      <x:c r="F103" s="10"/>
      <x:c r="G103" s="10"/>
      <x:c r="H103" s="2" t="str"/>
    </x:row>
    <x:row r="104" ht="25" customHeight="1">
      <x:c r="A104" s="7" t="d">
        <x:v>2009-07-01T00:00:00.000Z</x:v>
      </x:c>
      <x:c r="B104" s="6" t="str">
        <x:v>Jul-09</x:v>
      </x:c>
      <x:c r="C104" s="9" t="n">
        <x:v>13569.2</x:v>
      </x:c>
      <x:c r="D104" s="9" t="n">
        <x:v>4676.87</x:v>
      </x:c>
      <x:c r="E104" s="9" t="n">
        <x:v>7424.5</x:v>
      </x:c>
      <x:c r="F104" s="9"/>
      <x:c r="G104" s="9"/>
      <x:c r="H104" s="6" t="str"/>
    </x:row>
    <x:row r="105" ht="25" customHeight="1">
      <x:c r="A105" s="8" t="d">
        <x:v>2009-08-01T00:00:00.000Z</x:v>
      </x:c>
      <x:c r="B105" s="2" t="str">
        <x:v>Aug-09</x:v>
      </x:c>
      <x:c r="C105" s="10" t="n">
        <x:v>2391.6</x:v>
      </x:c>
      <x:c r="D105" s="10" t="n">
        <x:v>11535.15</x:v>
      </x:c>
      <x:c r="E105" s="10" t="n">
        <x:v>13657.3</x:v>
      </x:c>
      <x:c r="F105" s="10"/>
      <x:c r="G105" s="10"/>
      <x:c r="H105" s="2" t="str"/>
    </x:row>
    <x:row r="106" ht="25" customHeight="1">
      <x:c r="A106" s="7" t="d">
        <x:v>2009-09-01T00:00:00.000Z</x:v>
      </x:c>
      <x:c r="B106" s="6" t="str">
        <x:v>Sep-09</x:v>
      </x:c>
      <x:c r="C106" s="9" t="n">
        <x:v>6853.8</x:v>
      </x:c>
      <x:c r="D106" s="9" t="n">
        <x:v>4068.56</x:v>
      </x:c>
      <x:c r="E106" s="9" t="n">
        <x:v>7951.3</x:v>
      </x:c>
      <x:c r="F106" s="9"/>
      <x:c r="G106" s="9"/>
      <x:c r="H106" s="6" t="str"/>
    </x:row>
    <x:row r="107" ht="25" customHeight="1">
      <x:c r="A107" s="8" t="d">
        <x:v>2009-10-01T00:00:00.000Z</x:v>
      </x:c>
      <x:c r="B107" s="2" t="str">
        <x:v>Oct-09</x:v>
      </x:c>
      <x:c r="C107" s="10" t="n">
        <x:v>10296.5</x:v>
      </x:c>
      <x:c r="D107" s="10" t="n">
        <x:v>13263.2</x:v>
      </x:c>
      <x:c r="E107" s="10" t="n">
        <x:v>13369</x:v>
      </x:c>
      <x:c r="F107" s="10"/>
      <x:c r="G107" s="10"/>
      <x:c r="H107" s="2" t="str"/>
    </x:row>
    <x:row r="108" ht="25" customHeight="1">
      <x:c r="A108" s="7" t="d">
        <x:v>2009-11-01T00:00:00.000Z</x:v>
      </x:c>
      <x:c r="B108" s="6" t="str">
        <x:v>Nov-09</x:v>
      </x:c>
      <x:c r="C108" s="9" t="n">
        <x:v>14764.3</x:v>
      </x:c>
      <x:c r="D108" s="9" t="n">
        <x:v>6743.81</x:v>
      </x:c>
      <x:c r="E108" s="9" t="n">
        <x:v>5715.3</x:v>
      </x:c>
      <x:c r="F108" s="9"/>
      <x:c r="G108" s="9"/>
      <x:c r="H108" s="6" t="str"/>
    </x:row>
    <x:row r="109" ht="25" customHeight="1">
      <x:c r="A109" s="8" t="d">
        <x:v>2009-12-01T00:00:00.000Z</x:v>
      </x:c>
      <x:c r="B109" s="2" t="str">
        <x:v>Dec-09</x:v>
      </x:c>
      <x:c r="C109" s="10" t="n">
        <x:v>4156.4</x:v>
      </x:c>
      <x:c r="D109" s="10" t="n">
        <x:v>11846.89</x:v>
      </x:c>
      <x:c r="E109" s="10" t="n">
        <x:v>11867.3</x:v>
      </x:c>
      <x:c r="F109" s="10"/>
      <x:c r="G109" s="10"/>
      <x:c r="H109" s="2" t="str"/>
    </x:row>
    <x:row r="110" ht="25" customHeight="1">
      <x:c r="A110" s="7" t="d">
        <x:v>2010-01-01T00:00:00.000Z</x:v>
      </x:c>
      <x:c r="B110" s="6" t="str">
        <x:v>Jan-10</x:v>
      </x:c>
      <x:c r="C110" s="9" t="n">
        <x:v>9990.1</x:v>
      </x:c>
      <x:c r="D110" s="9" t="n">
        <x:v>14934.46</x:v>
      </x:c>
      <x:c r="E110" s="9" t="n">
        <x:v>18454.12</x:v>
      </x:c>
      <x:c r="F110" s="9"/>
      <x:c r="G110" s="9"/>
      <x:c r="H110" s="6" t="str"/>
    </x:row>
    <x:row r="111" ht="25" customHeight="1">
      <x:c r="A111" s="8" t="d">
        <x:v>2010-02-01T00:00:00.000Z</x:v>
      </x:c>
      <x:c r="B111" s="2" t="str">
        <x:v>Feb-10</x:v>
      </x:c>
      <x:c r="C111" s="10" t="n">
        <x:v>3129.53</x:v>
      </x:c>
      <x:c r="D111" s="10" t="n">
        <x:v>9045.94</x:v>
      </x:c>
      <x:c r="E111" s="10" t="n">
        <x:v>11187.9</x:v>
      </x:c>
      <x:c r="F111" s="10"/>
      <x:c r="G111" s="10"/>
      <x:c r="H111" s="2" t="str"/>
    </x:row>
    <x:row r="112" ht="25" customHeight="1">
      <x:c r="A112" s="7" t="d">
        <x:v>2010-03-01T00:00:00.000Z</x:v>
      </x:c>
      <x:c r="B112" s="6" t="str">
        <x:v>Mar-10</x:v>
      </x:c>
      <x:c r="C112" s="9" t="n">
        <x:v>4555.38</x:v>
      </x:c>
      <x:c r="D112" s="9" t="n">
        <x:v>13643.7</x:v>
      </x:c>
      <x:c r="E112" s="9" t="n">
        <x:v>16167.87</x:v>
      </x:c>
      <x:c r="F112" s="9"/>
      <x:c r="G112" s="9"/>
      <x:c r="H112" s="6" t="str"/>
    </x:row>
    <x:row r="113" ht="25" customHeight="1">
      <x:c r="A113" s="8" t="d">
        <x:v>2010-04-01T00:00:00.000Z</x:v>
      </x:c>
      <x:c r="B113" s="2" t="str">
        <x:v>Apr-10</x:v>
      </x:c>
      <x:c r="C113" s="10" t="n">
        <x:v>11587.04</x:v>
      </x:c>
      <x:c r="D113" s="10" t="n">
        <x:v>14259.8</x:v>
      </x:c>
      <x:c r="E113" s="10" t="n">
        <x:v>14766.23</x:v>
      </x:c>
      <x:c r="F113" s="10"/>
      <x:c r="G113" s="10"/>
      <x:c r="H113" s="2" t="str"/>
    </x:row>
    <x:row r="114" ht="25" customHeight="1">
      <x:c r="A114" s="7" t="d">
        <x:v>2010-05-01T00:00:00.000Z</x:v>
      </x:c>
      <x:c r="B114" s="6" t="str">
        <x:v>May-10</x:v>
      </x:c>
      <x:c r="C114" s="9" t="n">
        <x:v>6989.05</x:v>
      </x:c>
      <x:c r="D114" s="9" t="n">
        <x:v>10966</x:v>
      </x:c>
      <x:c r="E114" s="9" t="n">
        <x:v>12927.15</x:v>
      </x:c>
      <x:c r="F114" s="9"/>
      <x:c r="G114" s="9"/>
      <x:c r="H114" s="6" t="str"/>
    </x:row>
    <x:row r="115" ht="25" customHeight="1">
      <x:c r="A115" s="8" t="d">
        <x:v>2010-06-01T00:00:00.000Z</x:v>
      </x:c>
      <x:c r="B115" s="2" t="str">
        <x:v>Jun-10</x:v>
      </x:c>
      <x:c r="C115" s="10" t="n">
        <x:v>15804.11</x:v>
      </x:c>
      <x:c r="D115" s="10" t="n">
        <x:v>12117.07</x:v>
      </x:c>
      <x:c r="E115" s="10" t="n">
        <x:v>14247.73</x:v>
      </x:c>
      <x:c r="F115" s="10"/>
      <x:c r="G115" s="10"/>
      <x:c r="H115" s="2" t="str"/>
    </x:row>
    <x:row r="116" ht="25" customHeight="1">
      <x:c r="A116" s="7" t="d">
        <x:v>2010-07-01T00:00:00.000Z</x:v>
      </x:c>
      <x:c r="B116" s="6" t="str">
        <x:v>Jul-10</x:v>
      </x:c>
      <x:c r="C116" s="9" t="n">
        <x:v>8048.95</x:v>
      </x:c>
      <x:c r="D116" s="9" t="n">
        <x:v>8161.16</x:v>
      </x:c>
      <x:c r="E116" s="9" t="n">
        <x:v>10712.46</x:v>
      </x:c>
      <x:c r="F116" s="9"/>
      <x:c r="G116" s="9"/>
      <x:c r="H116" s="6" t="str"/>
    </x:row>
    <x:row r="117" ht="25" customHeight="1">
      <x:c r="A117" s="8" t="d">
        <x:v>2010-08-01T00:00:00.000Z</x:v>
      </x:c>
      <x:c r="B117" s="2" t="str">
        <x:v>Aug-10</x:v>
      </x:c>
      <x:c r="C117" s="10" t="n">
        <x:v>12356.32</x:v>
      </x:c>
      <x:c r="D117" s="10" t="n">
        <x:v>11765.51</x:v>
      </x:c>
      <x:c r="E117" s="10" t="n">
        <x:v>15202.42</x:v>
      </x:c>
      <x:c r="F117" s="10"/>
      <x:c r="G117" s="10"/>
      <x:c r="H117" s="2" t="str"/>
    </x:row>
    <x:row r="118" ht="25" customHeight="1">
      <x:c r="A118" s="7" t="d">
        <x:v>2010-09-01T00:00:00.000Z</x:v>
      </x:c>
      <x:c r="B118" s="6" t="str">
        <x:v>Sep-10</x:v>
      </x:c>
      <x:c r="C118" s="9" t="n">
        <x:v>12209</x:v>
      </x:c>
      <x:c r="D118" s="9" t="n">
        <x:v>10265.84</x:v>
      </x:c>
      <x:c r="E118" s="9" t="n">
        <x:v>11396.5</x:v>
      </x:c>
      <x:c r="F118" s="9"/>
      <x:c r="G118" s="9"/>
      <x:c r="H118" s="6" t="str"/>
    </x:row>
    <x:row r="119" ht="25" customHeight="1">
      <x:c r="A119" s="8" t="d">
        <x:v>2010-10-01T00:00:00.000Z</x:v>
      </x:c>
      <x:c r="B119" s="2" t="str">
        <x:v>Oct-10</x:v>
      </x:c>
      <x:c r="C119" s="10" t="n">
        <x:v>5692.11</x:v>
      </x:c>
      <x:c r="D119" s="10" t="n">
        <x:v>10016.31</x:v>
      </x:c>
      <x:c r="E119" s="10" t="n">
        <x:v>12544.52</x:v>
      </x:c>
      <x:c r="F119" s="10"/>
      <x:c r="G119" s="10"/>
      <x:c r="H119" s="2" t="str"/>
    </x:row>
    <x:row r="120" ht="25" customHeight="1">
      <x:c r="A120" s="7" t="d">
        <x:v>2010-11-01T00:00:00.000Z</x:v>
      </x:c>
      <x:c r="B120" s="6" t="str">
        <x:v>Nov-10</x:v>
      </x:c>
      <x:c r="C120" s="9" t="n">
        <x:v>10526.03</x:v>
      </x:c>
      <x:c r="D120" s="9" t="n">
        <x:v>17183.99</x:v>
      </x:c>
      <x:c r="E120" s="9" t="n">
        <x:v>18980.09</x:v>
      </x:c>
      <x:c r="F120" s="9"/>
      <x:c r="G120" s="9"/>
      <x:c r="H120" s="6" t="str"/>
    </x:row>
    <x:row r="121" ht="25" customHeight="1">
      <x:c r="A121" s="8" t="d">
        <x:v>2010-12-01T00:00:00.000Z</x:v>
      </x:c>
      <x:c r="B121" s="2" t="str">
        <x:v>Dec-10</x:v>
      </x:c>
      <x:c r="C121" s="10" t="n">
        <x:v>4006.4</x:v>
      </x:c>
      <x:c r="D121" s="10" t="n">
        <x:v>13529.88</x:v>
      </x:c>
      <x:c r="E121" s="10" t="n">
        <x:v>14827.22</x:v>
      </x:c>
      <x:c r="F121" s="10"/>
      <x:c r="G121" s="10"/>
      <x:c r="H121" s="2" t="str"/>
    </x:row>
    <x:row r="122" ht="25" customHeight="1">
      <x:c r="A122" s="7" t="d">
        <x:v>2011-01-01T00:00:00.000Z</x:v>
      </x:c>
      <x:c r="B122" s="6" t="str">
        <x:v>Jan-11</x:v>
      </x:c>
      <x:c r="C122" s="9" t="n">
        <x:v>5117.5</x:v>
      </x:c>
      <x:c r="D122" s="9" t="n">
        <x:v>14911.17</x:v>
      </x:c>
      <x:c r="E122" s="9" t="n">
        <x:v>15854.98</x:v>
      </x:c>
      <x:c r="F122" s="9"/>
      <x:c r="G122" s="9"/>
      <x:c r="H122" s="6" t="str"/>
    </x:row>
    <x:row r="123" ht="25" customHeight="1">
      <x:c r="A123" s="8" t="d">
        <x:v>2011-02-01T00:00:00.000Z</x:v>
      </x:c>
      <x:c r="B123" s="2" t="str">
        <x:v>Feb-11</x:v>
      </x:c>
      <x:c r="C123" s="10" t="n">
        <x:v>3937.52</x:v>
      </x:c>
      <x:c r="D123" s="10" t="n">
        <x:v>20420.42</x:v>
      </x:c>
      <x:c r="E123" s="10" t="n">
        <x:v>21291.7</x:v>
      </x:c>
      <x:c r="F123" s="10"/>
      <x:c r="G123" s="10"/>
      <x:c r="H123" s="2" t="str"/>
    </x:row>
    <x:row r="124" ht="25" customHeight="1">
      <x:c r="A124" s="7" t="d">
        <x:v>2011-03-01T00:00:00.000Z</x:v>
      </x:c>
      <x:c r="B124" s="6" t="str">
        <x:v>Mar-11</x:v>
      </x:c>
      <x:c r="C124" s="9" t="n">
        <x:v>4988.64</x:v>
      </x:c>
      <x:c r="D124" s="9" t="n">
        <x:v>30477.56</x:v>
      </x:c>
      <x:c r="E124" s="9" t="n">
        <x:v>31720.87</x:v>
      </x:c>
      <x:c r="F124" s="9"/>
      <x:c r="G124" s="9"/>
      <x:c r="H124" s="6" t="str"/>
    </x:row>
    <x:row r="125" ht="25" customHeight="1">
      <x:c r="A125" s="8" t="d">
        <x:v>2011-04-01T00:00:00.000Z</x:v>
      </x:c>
      <x:c r="B125" s="2" t="str">
        <x:v>Apr-11</x:v>
      </x:c>
      <x:c r="C125" s="10" t="n">
        <x:v>8397.69</x:v>
      </x:c>
      <x:c r="D125" s="10" t="n">
        <x:v>16233</x:v>
      </x:c>
      <x:c r="E125" s="10" t="n">
        <x:v>16508.05</x:v>
      </x:c>
      <x:c r="F125" s="10"/>
      <x:c r="G125" s="10"/>
      <x:c r="H125" s="2" t="str"/>
    </x:row>
    <x:row r="126" ht="25" customHeight="1">
      <x:c r="A126" s="7" t="d">
        <x:v>2011-05-01T00:00:00.000Z</x:v>
      </x:c>
      <x:c r="B126" s="6" t="str">
        <x:v>May-11</x:v>
      </x:c>
      <x:c r="C126" s="9" t="n">
        <x:v>15824.95</x:v>
      </x:c>
      <x:c r="D126" s="9" t="n">
        <x:v>25940.3</x:v>
      </x:c>
      <x:c r="E126" s="9" t="n">
        <x:v>26096.93</x:v>
      </x:c>
      <x:c r="F126" s="9"/>
      <x:c r="G126" s="9"/>
      <x:c r="H126" s="6" t="str"/>
    </x:row>
    <x:row r="127" ht="25" customHeight="1">
      <x:c r="A127" s="8" t="d">
        <x:v>2011-06-01T00:00:00.000Z</x:v>
      </x:c>
      <x:c r="B127" s="2" t="str">
        <x:v>Jun-11</x:v>
      </x:c>
      <x:c r="C127" s="10" t="n">
        <x:v>65407.21</x:v>
      </x:c>
      <x:c r="D127" s="10" t="n">
        <x:v>25379.79</x:v>
      </x:c>
      <x:c r="E127" s="10" t="n">
        <x:v>34163.81</x:v>
      </x:c>
      <x:c r="F127" s="10"/>
      <x:c r="G127" s="10"/>
      <x:c r="H127" s="2" t="str"/>
    </x:row>
    <x:row r="128" ht="25" customHeight="1">
      <x:c r="A128" s="7" t="d">
        <x:v>2011-07-01T00:00:00.000Z</x:v>
      </x:c>
      <x:c r="B128" s="6" t="str">
        <x:v>Jul-11</x:v>
      </x:c>
      <x:c r="C128" s="9" t="n">
        <x:v>14559.88</x:v>
      </x:c>
      <x:c r="D128" s="9" t="n">
        <x:v>24112.56</x:v>
      </x:c>
      <x:c r="E128" s="9" t="n">
        <x:v>28774.57</x:v>
      </x:c>
      <x:c r="F128" s="9"/>
      <x:c r="G128" s="9"/>
      <x:c r="H128" s="6" t="str"/>
    </x:row>
    <x:row r="129" ht="25" customHeight="1">
      <x:c r="A129" s="8" t="d">
        <x:v>2011-08-01T00:00:00.000Z</x:v>
      </x:c>
      <x:c r="B129" s="2" t="str">
        <x:v>Aug-11</x:v>
      </x:c>
      <x:c r="C129" s="10" t="n">
        <x:v>30513.9</x:v>
      </x:c>
      <x:c r="D129" s="10" t="n">
        <x:v>18847.83</x:v>
      </x:c>
      <x:c r="E129" s="10" t="n">
        <x:v>23511.3</x:v>
      </x:c>
      <x:c r="F129" s="10"/>
      <x:c r="G129" s="10"/>
      <x:c r="H129" s="2" t="str"/>
    </x:row>
    <x:row r="130" ht="25" customHeight="1">
      <x:c r="A130" s="7" t="d">
        <x:v>2011-09-01T00:00:00.000Z</x:v>
      </x:c>
      <x:c r="B130" s="6" t="str">
        <x:v>Sep-11</x:v>
      </x:c>
      <x:c r="C130" s="9" t="n">
        <x:v>11489.15</x:v>
      </x:c>
      <x:c r="D130" s="9" t="n">
        <x:v>19567.43</x:v>
      </x:c>
      <x:c r="E130" s="9" t="n">
        <x:v>23085.6</x:v>
      </x:c>
      <x:c r="F130" s="9"/>
      <x:c r="G130" s="9"/>
      <x:c r="H130" s="6" t="str"/>
    </x:row>
    <x:row r="131" ht="25" customHeight="1">
      <x:c r="A131" s="8" t="d">
        <x:v>2011-10-01T00:00:00.000Z</x:v>
      </x:c>
      <x:c r="B131" s="2" t="str">
        <x:v>Oct-11</x:v>
      </x:c>
      <x:c r="C131" s="10" t="n">
        <x:v>33252.07</x:v>
      </x:c>
      <x:c r="D131" s="10" t="n">
        <x:v>20107.83</x:v>
      </x:c>
      <x:c r="E131" s="10" t="n">
        <x:v>24630.79</x:v>
      </x:c>
      <x:c r="F131" s="10"/>
      <x:c r="G131" s="10"/>
      <x:c r="H131" s="2" t="str"/>
    </x:row>
    <x:row r="132" ht="25" customHeight="1">
      <x:c r="A132" s="7" t="d">
        <x:v>2011-11-01T00:00:00.000Z</x:v>
      </x:c>
      <x:c r="B132" s="6" t="str">
        <x:v>Nov-11</x:v>
      </x:c>
      <x:c r="C132" s="9" t="n">
        <x:v>28891.03</x:v>
      </x:c>
      <x:c r="D132" s="9" t="n">
        <x:v>17688.97</x:v>
      </x:c>
      <x:c r="E132" s="9" t="n">
        <x:v>18556.6</x:v>
      </x:c>
      <x:c r="F132" s="9" t="n">
        <x:v>4457.51</x:v>
      </x:c>
      <x:c r="G132" s="9"/>
      <x:c r="H132" s="6" t="str"/>
    </x:row>
    <x:row r="133" ht="25" customHeight="1">
      <x:c r="A133" s="8" t="d">
        <x:v>2011-12-01T00:00:00.000Z</x:v>
      </x:c>
      <x:c r="B133" s="2" t="str">
        <x:v>Dec-11</x:v>
      </x:c>
      <x:c r="C133" s="10" t="n">
        <x:v>23503.98</x:v>
      </x:c>
      <x:c r="D133" s="10" t="n">
        <x:v>10016.8</x:v>
      </x:c>
      <x:c r="E133" s="10" t="n">
        <x:v>11562.99</x:v>
      </x:c>
      <x:c r="F133" s="10" t="n">
        <x:v>10405.53</x:v>
      </x:c>
      <x:c r="G133" s="10"/>
      <x:c r="H133" s="2" t="str"/>
    </x:row>
    <x:row r="134" ht="25" customHeight="1">
      <x:c r="A134" s="7" t="d">
        <x:v>2012-01-01T00:00:00.000Z</x:v>
      </x:c>
      <x:c r="B134" s="6" t="str">
        <x:v>Jan-12</x:v>
      </x:c>
      <x:c r="C134" s="9" t="n">
        <x:v>30377.18</x:v>
      </x:c>
      <x:c r="D134" s="9" t="n">
        <x:v>21402.69</x:v>
      </x:c>
      <x:c r="E134" s="9" t="n">
        <x:v>25749.35</x:v>
      </x:c>
      <x:c r="F134" s="9" t="n">
        <x:v>35647.71</x:v>
      </x:c>
      <x:c r="G134" s="9"/>
      <x:c r="H134" s="6" t="str"/>
    </x:row>
    <x:row r="135" ht="25" customHeight="1">
      <x:c r="A135" s="8" t="d">
        <x:v>2012-02-01T00:00:00.000Z</x:v>
      </x:c>
      <x:c r="B135" s="2" t="str">
        <x:v>Feb-12</x:v>
      </x:c>
      <x:c r="C135" s="10" t="n">
        <x:v>18233.34</x:v>
      </x:c>
      <x:c r="D135" s="10" t="n">
        <x:v>23529.56</x:v>
      </x:c>
      <x:c r="E135" s="10" t="n">
        <x:v>25455.45</x:v>
      </x:c>
      <x:c r="F135" s="10" t="n">
        <x:v>9624.3</x:v>
      </x:c>
      <x:c r="G135" s="10"/>
      <x:c r="H135" s="2" t="str"/>
    </x:row>
    <x:row r="136" ht="25" customHeight="1">
      <x:c r="A136" s="7" t="d">
        <x:v>2012-03-01T00:00:00.000Z</x:v>
      </x:c>
      <x:c r="B136" s="6" t="str">
        <x:v>Mar-12</x:v>
      </x:c>
      <x:c r="C136" s="9" t="n">
        <x:v>21142.52</x:v>
      </x:c>
      <x:c r="D136" s="9" t="n">
        <x:v>34935.7</x:v>
      </x:c>
      <x:c r="E136" s="9" t="n">
        <x:v>35249.49</x:v>
      </x:c>
      <x:c r="F136" s="9" t="n">
        <x:v>46500.02</x:v>
      </x:c>
      <x:c r="G136" s="9"/>
      <x:c r="H136" s="6" t="str"/>
    </x:row>
    <x:row r="137" ht="25" customHeight="1">
      <x:c r="A137" s="8" t="d">
        <x:v>2012-04-01T00:00:00.000Z</x:v>
      </x:c>
      <x:c r="B137" s="2" t="str">
        <x:v>Apr-12</x:v>
      </x:c>
      <x:c r="C137" s="10" t="n">
        <x:v>9132.9</x:v>
      </x:c>
      <x:c r="D137" s="10" t="n">
        <x:v>19449.86</x:v>
      </x:c>
      <x:c r="E137" s="10" t="n">
        <x:v>19731.02</x:v>
      </x:c>
      <x:c r="F137" s="10" t="n">
        <x:v>40301.79</x:v>
      </x:c>
      <x:c r="G137" s="10"/>
      <x:c r="H137" s="2" t="str"/>
    </x:row>
    <x:row r="138" ht="25" customHeight="1">
      <x:c r="A138" s="7" t="d">
        <x:v>2012-05-01T00:00:00.000Z</x:v>
      </x:c>
      <x:c r="B138" s="6" t="str">
        <x:v>May-12</x:v>
      </x:c>
      <x:c r="C138" s="9" t="n">
        <x:v>41464.44</x:v>
      </x:c>
      <x:c r="D138" s="9" t="n">
        <x:v>1072.33</x:v>
      </x:c>
      <x:c r="E138" s="9" t="n">
        <x:v>34023.55</x:v>
      </x:c>
      <x:c r="F138" s="9" t="n">
        <x:v>58423.66</x:v>
      </x:c>
      <x:c r="G138" s="9"/>
      <x:c r="H138" s="6" t="str"/>
    </x:row>
    <x:row r="139" ht="25" customHeight="1">
      <x:c r="A139" s="8" t="d">
        <x:v>2012-06-01T00:00:00.000Z</x:v>
      </x:c>
      <x:c r="B139" s="2" t="str">
        <x:v>Jun-12</x:v>
      </x:c>
      <x:c r="C139" s="10" t="n">
        <x:v>31987.07</x:v>
      </x:c>
      <x:c r="D139" s="10" t="n">
        <x:v>22837.62</x:v>
      </x:c>
      <x:c r="E139" s="10" t="n">
        <x:v>23540.02</x:v>
      </x:c>
      <x:c r="F139" s="10" t="n">
        <x:v>10688.79</x:v>
      </x:c>
      <x:c r="G139" s="10"/>
      <x:c r="H139" s="2" t="str"/>
    </x:row>
    <x:row r="140" ht="25" customHeight="1">
      <x:c r="A140" s="7" t="d">
        <x:v>2012-07-01T00:00:00.000Z</x:v>
      </x:c>
      <x:c r="B140" s="6" t="str">
        <x:v>Jul-12</x:v>
      </x:c>
      <x:c r="C140" s="9" t="n">
        <x:v>34410.31</x:v>
      </x:c>
      <x:c r="D140" s="9" t="n">
        <x:v>33281.72</x:v>
      </x:c>
      <x:c r="E140" s="9" t="n">
        <x:v>36786.31</x:v>
      </x:c>
      <x:c r="F140" s="9" t="n">
        <x:v>23355.4</x:v>
      </x:c>
      <x:c r="G140" s="9"/>
      <x:c r="H140" s="6" t="str"/>
    </x:row>
    <x:row r="141" ht="25" customHeight="1">
      <x:c r="A141" s="8" t="d">
        <x:v>2012-08-01T00:00:00.000Z</x:v>
      </x:c>
      <x:c r="B141" s="2" t="str">
        <x:v>Aug-12</x:v>
      </x:c>
      <x:c r="C141" s="10" t="n">
        <x:v>22335.59</x:v>
      </x:c>
      <x:c r="D141" s="10" t="n">
        <x:v>26417.47</x:v>
      </x:c>
      <x:c r="E141" s="10" t="n">
        <x:v>31334.76</x:v>
      </x:c>
      <x:c r="F141" s="10" t="n">
        <x:v>20440</x:v>
      </x:c>
      <x:c r="G141" s="10"/>
      <x:c r="H141" s="2" t="str"/>
    </x:row>
    <x:row r="142" ht="25" customHeight="1">
      <x:c r="A142" s="7" t="d">
        <x:v>2012-09-01T00:00:00.000Z</x:v>
      </x:c>
      <x:c r="B142" s="6" t="str">
        <x:v>Sep-12</x:v>
      </x:c>
      <x:c r="C142" s="9" t="n">
        <x:v>39949.66</x:v>
      </x:c>
      <x:c r="D142" s="9" t="n">
        <x:v>22317.74</x:v>
      </x:c>
      <x:c r="E142" s="9" t="n">
        <x:v>25453.86</x:v>
      </x:c>
      <x:c r="F142" s="9" t="n">
        <x:v>12138.12</x:v>
      </x:c>
      <x:c r="G142" s="9"/>
      <x:c r="H142" s="6" t="str"/>
    </x:row>
    <x:row r="143" ht="25" customHeight="1">
      <x:c r="A143" s="8" t="d">
        <x:v>2012-10-01T00:00:00.000Z</x:v>
      </x:c>
      <x:c r="B143" s="2" t="str">
        <x:v>Oct-12</x:v>
      </x:c>
      <x:c r="C143" s="10" t="n">
        <x:v>9499.44</x:v>
      </x:c>
      <x:c r="D143" s="10" t="n">
        <x:v>26731.5</x:v>
      </x:c>
      <x:c r="E143" s="10" t="n">
        <x:v>29307.37</x:v>
      </x:c>
      <x:c r="F143" s="10" t="n">
        <x:v>7504.63</x:v>
      </x:c>
      <x:c r="G143" s="10"/>
      <x:c r="H143" s="2" t="str"/>
    </x:row>
    <x:row r="144" ht="25" customHeight="1">
      <x:c r="A144" s="7" t="d">
        <x:v>2012-11-01T00:00:00.000Z</x:v>
      </x:c>
      <x:c r="B144" s="6" t="str">
        <x:v>Nov-12</x:v>
      </x:c>
      <x:c r="C144" s="9" t="n">
        <x:v>34542.89</x:v>
      </x:c>
      <x:c r="D144" s="9" t="n">
        <x:v>24831.17</x:v>
      </x:c>
      <x:c r="E144" s="9" t="n">
        <x:v>26674.01</x:v>
      </x:c>
      <x:c r="F144" s="9" t="n">
        <x:v>38132.88</x:v>
      </x:c>
      <x:c r="G144" s="9"/>
      <x:c r="H144" s="6" t="str"/>
    </x:row>
    <x:row r="145" ht="25" customHeight="1">
      <x:c r="A145" s="8" t="d">
        <x:v>2012-12-01T00:00:00.000Z</x:v>
      </x:c>
      <x:c r="B145" s="2" t="str">
        <x:v>Dec-12</x:v>
      </x:c>
      <x:c r="C145" s="10" t="n">
        <x:v>12971.65</x:v>
      </x:c>
      <x:c r="D145" s="10" t="n">
        <x:v>32945.54</x:v>
      </x:c>
      <x:c r="E145" s="10" t="n">
        <x:v>33265.58</x:v>
      </x:c>
      <x:c r="F145" s="10" t="n">
        <x:v>54245</x:v>
      </x:c>
      <x:c r="G145" s="10"/>
      <x:c r="H145" s="2" t="str"/>
    </x:row>
    <x:row r="146" ht="25" customHeight="1">
      <x:c r="A146" s="7" t="d">
        <x:v>2013-01-01T00:00:00.000Z</x:v>
      </x:c>
      <x:c r="B146" s="6" t="str">
        <x:v>Jan-13</x:v>
      </x:c>
      <x:c r="C146" s="9" t="n">
        <x:v>19200.71</x:v>
      </x:c>
      <x:c r="D146" s="9" t="n">
        <x:v>34296.14</x:v>
      </x:c>
      <x:c r="E146" s="9" t="n">
        <x:v>35017.63</x:v>
      </x:c>
      <x:c r="F146" s="9" t="n">
        <x:v>50732.14</x:v>
      </x:c>
      <x:c r="G146" s="9"/>
      <x:c r="H146" s="6" t="str"/>
    </x:row>
    <x:row r="147" ht="25" customHeight="1">
      <x:c r="A147" s="8" t="d">
        <x:v>2013-02-01T00:00:00.000Z</x:v>
      </x:c>
      <x:c r="B147" s="2" t="str">
        <x:v>Feb-13</x:v>
      </x:c>
      <x:c r="C147" s="10" t="n">
        <x:v>49876.76</x:v>
      </x:c>
      <x:c r="D147" s="10" t="n">
        <x:v>28490.28</x:v>
      </x:c>
      <x:c r="E147" s="10" t="n">
        <x:v>29382.83</x:v>
      </x:c>
      <x:c r="F147" s="10" t="n">
        <x:v>109747.04</x:v>
      </x:c>
      <x:c r="G147" s="10"/>
      <x:c r="H147" s="2" t="str"/>
    </x:row>
    <x:row r="148" ht="25" customHeight="1">
      <x:c r="A148" s="7" t="d">
        <x:v>2013-03-01T00:00:00.000Z</x:v>
      </x:c>
      <x:c r="B148" s="6" t="str">
        <x:v>Mar-13</x:v>
      </x:c>
      <x:c r="C148" s="9" t="n">
        <x:v>27849.57</x:v>
      </x:c>
      <x:c r="D148" s="9" t="n">
        <x:v>31553.83</x:v>
      </x:c>
      <x:c r="E148" s="9" t="n">
        <x:v>32142.46</x:v>
      </x:c>
      <x:c r="F148" s="9" t="n">
        <x:v>63000.38</x:v>
      </x:c>
      <x:c r="G148" s="9"/>
      <x:c r="H148" s="6" t="str"/>
    </x:row>
    <x:row r="149" ht="25" customHeight="1">
      <x:c r="A149" s="8" t="d">
        <x:v>2013-04-01T00:00:00.000Z</x:v>
      </x:c>
      <x:c r="B149" s="2" t="str">
        <x:v>Apr-13</x:v>
      </x:c>
      <x:c r="C149" s="10" t="n">
        <x:v>32912.27</x:v>
      </x:c>
      <x:c r="D149" s="10" t="n">
        <x:v>29916.53</x:v>
      </x:c>
      <x:c r="E149" s="10" t="n">
        <x:v>30029.23</x:v>
      </x:c>
      <x:c r="F149" s="10" t="n">
        <x:v>100529.8</x:v>
      </x:c>
      <x:c r="G149" s="10"/>
      <x:c r="H149" s="2" t="str"/>
    </x:row>
    <x:row r="150" ht="25" customHeight="1">
      <x:c r="A150" s="7" t="d">
        <x:v>2013-05-01T00:00:00.000Z</x:v>
      </x:c>
      <x:c r="B150" s="6" t="str">
        <x:v>May-13</x:v>
      </x:c>
      <x:c r="C150" s="9" t="n">
        <x:v>33870.23</x:v>
      </x:c>
      <x:c r="D150" s="9" t="n">
        <x:v>31809.47</x:v>
      </x:c>
      <x:c r="E150" s="9" t="n">
        <x:v>35539.69</x:v>
      </x:c>
      <x:c r="F150" s="9" t="n">
        <x:v>109454.66</x:v>
      </x:c>
      <x:c r="G150" s="9"/>
      <x:c r="H150" s="6" t="str"/>
    </x:row>
    <x:row r="151" ht="25" customHeight="1">
      <x:c r="A151" s="8" t="d">
        <x:v>2013-06-01T00:00:00.000Z</x:v>
      </x:c>
      <x:c r="B151" s="2" t="str">
        <x:v>Jun-13</x:v>
      </x:c>
      <x:c r="C151" s="10" t="n">
        <x:v>49641.77</x:v>
      </x:c>
      <x:c r="D151" s="10" t="n">
        <x:v>22805</x:v>
      </x:c>
      <x:c r="E151" s="10" t="n">
        <x:v>23819.06</x:v>
      </x:c>
      <x:c r="F151" s="10"/>
      <x:c r="G151" s="10"/>
      <x:c r="H151" s="2" t="str"/>
    </x:row>
    <x:row r="152" ht="25" customHeight="1">
      <x:c r="A152" s="7" t="d">
        <x:v>2013-07-01T00:00:00.000Z</x:v>
      </x:c>
      <x:c r="B152" s="6" t="str">
        <x:v>Jul-13</x:v>
      </x:c>
      <x:c r="C152" s="9" t="n">
        <x:v>10204.32</x:v>
      </x:c>
      <x:c r="D152" s="9" t="n">
        <x:v>27302.74</x:v>
      </x:c>
      <x:c r="E152" s="9" t="n">
        <x:v>30424.28</x:v>
      </x:c>
      <x:c r="F152" s="9" t="n">
        <x:v>82308.32</x:v>
      </x:c>
      <x:c r="G152" s="9"/>
      <x:c r="H152" s="6" t="str"/>
    </x:row>
    <x:row r="153" ht="25" customHeight="1">
      <x:c r="A153" s="8" t="d">
        <x:v>2013-08-01T00:00:00.000Z</x:v>
      </x:c>
      <x:c r="B153" s="2" t="str">
        <x:v>Aug-13</x:v>
      </x:c>
      <x:c r="C153" s="10" t="n">
        <x:v>23766.77</x:v>
      </x:c>
      <x:c r="D153" s="10" t="n">
        <x:v>29209.76</x:v>
      </x:c>
      <x:c r="E153" s="10" t="n">
        <x:v>31966.46</x:v>
      </x:c>
      <x:c r="F153" s="10" t="n">
        <x:v>94020.16</x:v>
      </x:c>
      <x:c r="G153" s="10"/>
      <x:c r="H153" s="2" t="str"/>
    </x:row>
    <x:row r="154" ht="25" customHeight="1">
      <x:c r="A154" s="7" t="d">
        <x:v>2013-09-01T00:00:00.000Z</x:v>
      </x:c>
      <x:c r="B154" s="6" t="str">
        <x:v>Sep-13</x:v>
      </x:c>
      <x:c r="C154" s="9" t="n">
        <x:v>33471.16</x:v>
      </x:c>
      <x:c r="D154" s="9" t="n">
        <x:v>30182.41</x:v>
      </x:c>
      <x:c r="E154" s="9" t="n">
        <x:v>37284.37</x:v>
      </x:c>
      <x:c r="F154" s="9" t="n">
        <x:v>88093.2</x:v>
      </x:c>
      <x:c r="G154" s="9"/>
      <x:c r="H154" s="6" t="str"/>
    </x:row>
    <x:row r="155" ht="25" customHeight="1">
      <x:c r="A155" s="8" t="d">
        <x:v>2013-10-01T00:00:00.000Z</x:v>
      </x:c>
      <x:c r="B155" s="2" t="str">
        <x:v>Oct-13</x:v>
      </x:c>
      <x:c r="C155" s="10" t="n">
        <x:v>31458.97</x:v>
      </x:c>
      <x:c r="D155" s="10" t="n">
        <x:v>43013.45</x:v>
      </x:c>
      <x:c r="E155" s="10" t="n">
        <x:v>52010.8</x:v>
      </x:c>
      <x:c r="F155" s="10" t="n">
        <x:v>117316.46</x:v>
      </x:c>
      <x:c r="G155" s="10"/>
      <x:c r="H155" s="2" t="str"/>
    </x:row>
    <x:row r="156" ht="25" customHeight="1">
      <x:c r="A156" s="7" t="d">
        <x:v>2013-11-01T00:00:00.000Z</x:v>
      </x:c>
      <x:c r="B156" s="6" t="str">
        <x:v>Nov-13</x:v>
      </x:c>
      <x:c r="C156" s="9" t="n">
        <x:v>23109.18</x:v>
      </x:c>
      <x:c r="D156" s="9" t="n">
        <x:v>32484.65</x:v>
      </x:c>
      <x:c r="E156" s="9" t="n">
        <x:v>39357.17</x:v>
      </x:c>
      <x:c r="F156" s="9" t="n">
        <x:v>111915.85</x:v>
      </x:c>
      <x:c r="G156" s="9"/>
      <x:c r="H156" s="6" t="str"/>
    </x:row>
    <x:row r="157" ht="25" customHeight="1">
      <x:c r="A157" s="8" t="d">
        <x:v>2013-12-01T00:00:00.000Z</x:v>
      </x:c>
      <x:c r="B157" s="2" t="str">
        <x:v>Dec-13</x:v>
      </x:c>
      <x:c r="C157" s="10" t="n">
        <x:v>22453.43</x:v>
      </x:c>
      <x:c r="D157" s="10" t="n">
        <x:v>35007.7</x:v>
      </x:c>
      <x:c r="E157" s="10" t="n">
        <x:v>38996.39</x:v>
      </x:c>
      <x:c r="F157" s="10" t="n">
        <x:v>137267.71</x:v>
      </x:c>
      <x:c r="G157" s="10"/>
      <x:c r="H157" s="2" t="str"/>
    </x:row>
    <x:row r="158" ht="25" customHeight="1">
      <x:c r="A158" s="7" t="d">
        <x:v>2014-01-01T00:00:00.000Z</x:v>
      </x:c>
      <x:c r="B158" s="6" t="str">
        <x:v>Jan-14</x:v>
      </x:c>
      <x:c r="C158" s="9" t="n">
        <x:v>32338.24</x:v>
      </x:c>
      <x:c r="D158" s="9" t="n">
        <x:v>41489.88</x:v>
      </x:c>
      <x:c r="E158" s="9" t="n">
        <x:v>23350.56</x:v>
      </x:c>
      <x:c r="F158" s="9" t="n">
        <x:v>96568.38</x:v>
      </x:c>
      <x:c r="G158" s="9"/>
      <x:c r="H158" s="6" t="str"/>
    </x:row>
    <x:row r="159" ht="25" customHeight="1">
      <x:c r="A159" s="8" t="d">
        <x:v>2014-02-01T00:00:00.000Z</x:v>
      </x:c>
      <x:c r="B159" s="2" t="str">
        <x:v>Feb-14</x:v>
      </x:c>
      <x:c r="C159" s="10" t="n">
        <x:v>16541.73</x:v>
      </x:c>
      <x:c r="D159" s="10" t="n">
        <x:v>44994.95</x:v>
      </x:c>
      <x:c r="E159" s="10" t="n">
        <x:v>53168.64</x:v>
      </x:c>
      <x:c r="F159" s="10" t="n">
        <x:v>94606.69</x:v>
      </x:c>
      <x:c r="G159" s="10"/>
      <x:c r="H159" s="2" t="str"/>
    </x:row>
    <x:row r="160" ht="25" customHeight="1">
      <x:c r="A160" s="7" t="d">
        <x:v>2014-03-01T00:00:00.000Z</x:v>
      </x:c>
      <x:c r="B160" s="6" t="str">
        <x:v>Mar-14</x:v>
      </x:c>
      <x:c r="C160" s="9" t="n">
        <x:v>44205.7</x:v>
      </x:c>
      <x:c r="D160" s="9" t="n">
        <x:v>46195.46</x:v>
      </x:c>
      <x:c r="E160" s="9" t="n">
        <x:v>54243.61</x:v>
      </x:c>
      <x:c r="F160" s="9" t="n">
        <x:v>115782.9</x:v>
      </x:c>
      <x:c r="G160" s="9"/>
      <x:c r="H160" s="6" t="str"/>
    </x:row>
    <x:row r="161" ht="25" customHeight="1">
      <x:c r="A161" s="8" t="d">
        <x:v>2014-04-01T00:00:00.000Z</x:v>
      </x:c>
      <x:c r="B161" s="2" t="str">
        <x:v>Apr-14</x:v>
      </x:c>
      <x:c r="C161" s="10" t="n">
        <x:v>42244.4</x:v>
      </x:c>
      <x:c r="D161" s="10" t="n">
        <x:v>45199.35</x:v>
      </x:c>
      <x:c r="E161" s="10" t="n">
        <x:v>49256.72</x:v>
      </x:c>
      <x:c r="F161" s="10" t="n">
        <x:v>68450.14</x:v>
      </x:c>
      <x:c r="G161" s="10"/>
      <x:c r="H161" s="2" t="str"/>
    </x:row>
    <x:row r="162" ht="25" customHeight="1">
      <x:c r="A162" s="7" t="d">
        <x:v>2014-05-01T00:00:00.000Z</x:v>
      </x:c>
      <x:c r="B162" s="6" t="str">
        <x:v>May-14</x:v>
      </x:c>
      <x:c r="C162" s="9" t="n">
        <x:v>19029.24</x:v>
      </x:c>
      <x:c r="D162" s="9" t="n">
        <x:v>44664.1</x:v>
      </x:c>
      <x:c r="E162" s="9" t="n">
        <x:v>52922.66</x:v>
      </x:c>
      <x:c r="F162" s="9" t="n">
        <x:v>91451.81</x:v>
      </x:c>
      <x:c r="G162" s="9"/>
      <x:c r="H162" s="6" t="str"/>
    </x:row>
    <x:row r="163" ht="25" customHeight="1">
      <x:c r="A163" s="8" t="d">
        <x:v>2014-06-01T00:00:00.000Z</x:v>
      </x:c>
      <x:c r="B163" s="2" t="str">
        <x:v>Jun-14</x:v>
      </x:c>
      <x:c r="C163" s="10" t="n">
        <x:v>42485.27</x:v>
      </x:c>
      <x:c r="D163" s="10" t="n">
        <x:v>42595.42</x:v>
      </x:c>
      <x:c r="E163" s="10" t="n">
        <x:v>48183.73</x:v>
      </x:c>
      <x:c r="F163" s="10" t="n">
        <x:v>38575.69</x:v>
      </x:c>
      <x:c r="G163" s="10"/>
      <x:c r="H163" s="2" t="str"/>
    </x:row>
    <x:row r="164" ht="25" customHeight="1">
      <x:c r="A164" s="7" t="d">
        <x:v>2014-07-01T00:00:00.000Z</x:v>
      </x:c>
      <x:c r="B164" s="6" t="str">
        <x:v>Jul-14</x:v>
      </x:c>
      <x:c r="C164" s="9" t="n">
        <x:v>16669.07</x:v>
      </x:c>
      <x:c r="D164" s="9" t="n">
        <x:v>53089.59</x:v>
      </x:c>
      <x:c r="E164" s="9" t="n">
        <x:v>59114.21</x:v>
      </x:c>
      <x:c r="F164" s="9" t="n">
        <x:v>59940.65</x:v>
      </x:c>
      <x:c r="G164" s="9"/>
      <x:c r="H164" s="6" t="str"/>
    </x:row>
    <x:row r="165" ht="25" customHeight="1">
      <x:c r="A165" s="8" t="d">
        <x:v>2014-08-01T00:00:00.000Z</x:v>
      </x:c>
      <x:c r="B165" s="2" t="str">
        <x:v>Aug-14</x:v>
      </x:c>
      <x:c r="C165" s="10" t="n">
        <x:v>36333.39</x:v>
      </x:c>
      <x:c r="D165" s="10" t="n">
        <x:v>35562.07</x:v>
      </x:c>
      <x:c r="E165" s="10" t="n">
        <x:v>41404.74</x:v>
      </x:c>
      <x:c r="F165" s="10" t="n">
        <x:v>52050.31</x:v>
      </x:c>
      <x:c r="G165" s="10"/>
      <x:c r="H165" s="2" t="str"/>
    </x:row>
    <x:row r="166" ht="25" customHeight="1">
      <x:c r="A166" s="7" t="d">
        <x:v>2014-09-01T00:00:00.000Z</x:v>
      </x:c>
      <x:c r="B166" s="6" t="str">
        <x:v>Sep-14</x:v>
      </x:c>
      <x:c r="C166" s="9" t="n">
        <x:v>14394.79</x:v>
      </x:c>
      <x:c r="D166" s="9" t="n">
        <x:v>20287.49</x:v>
      </x:c>
      <x:c r="E166" s="9" t="n">
        <x:v>23695.67</x:v>
      </x:c>
      <x:c r="F166" s="9" t="n">
        <x:v>56723.66</x:v>
      </x:c>
      <x:c r="G166" s="9"/>
      <x:c r="H166" s="6" t="str"/>
    </x:row>
    <x:row r="167" ht="25" customHeight="1">
      <x:c r="A167" s="8" t="d">
        <x:v>2014-10-01T00:00:00.000Z</x:v>
      </x:c>
      <x:c r="B167" s="2" t="str">
        <x:v>Oct-14</x:v>
      </x:c>
      <x:c r="C167" s="10" t="n">
        <x:v>40577.78</x:v>
      </x:c>
      <x:c r="D167" s="10" t="n">
        <x:v>29577.66</x:v>
      </x:c>
      <x:c r="E167" s="10" t="n">
        <x:v>31074.88</x:v>
      </x:c>
      <x:c r="F167" s="10" t="n">
        <x:v>41790.84</x:v>
      </x:c>
      <x:c r="G167" s="10"/>
      <x:c r="H167" s="2" t="str"/>
    </x:row>
    <x:row r="168" ht="25" customHeight="1">
      <x:c r="A168" s="7" t="d">
        <x:v>2014-11-01T00:00:00.000Z</x:v>
      </x:c>
      <x:c r="B168" s="6" t="str">
        <x:v>Nov-14</x:v>
      </x:c>
      <x:c r="C168" s="9" t="n">
        <x:v>12157.61</x:v>
      </x:c>
      <x:c r="D168" s="9" t="n">
        <x:v>28243.55</x:v>
      </x:c>
      <x:c r="E168" s="9" t="n">
        <x:v>31663.51</x:v>
      </x:c>
      <x:c r="F168" s="9" t="n">
        <x:v>20273.31</x:v>
      </x:c>
      <x:c r="G168" s="9"/>
      <x:c r="H168" s="6" t="str"/>
    </x:row>
    <x:row r="169" ht="25" customHeight="1">
      <x:c r="A169" s="8" t="d">
        <x:v>2014-12-01T00:00:00.000Z</x:v>
      </x:c>
      <x:c r="B169" s="2" t="str">
        <x:v>Dec-14</x:v>
      </x:c>
      <x:c r="C169" s="10" t="n">
        <x:v>19717.44</x:v>
      </x:c>
      <x:c r="D169" s="10" t="n">
        <x:v>19928.41</x:v>
      </x:c>
      <x:c r="E169" s="10" t="n">
        <x:v>21676.74</x:v>
      </x:c>
      <x:c r="F169" s="10" t="n">
        <x:v>5851.78</x:v>
      </x:c>
      <x:c r="G169" s="10"/>
      <x:c r="H169" s="2" t="str"/>
    </x:row>
    <x:row r="170" ht="25" customHeight="1">
      <x:c r="A170" s="7" t="d">
        <x:v>2015-01-01T00:00:00.000Z</x:v>
      </x:c>
      <x:c r="B170" s="6" t="str">
        <x:v>Jan-15</x:v>
      </x:c>
      <x:c r="C170" s="9" t="n">
        <x:v>157053.31</x:v>
      </x:c>
      <x:c r="D170" s="9" t="n">
        <x:v>21043.08</x:v>
      </x:c>
      <x:c r="E170" s="9" t="n">
        <x:v>24104.84</x:v>
      </x:c>
      <x:c r="F170" s="9" t="n">
        <x:v>49006.6</x:v>
      </x:c>
      <x:c r="G170" s="9"/>
      <x:c r="H170" s="6" t="str"/>
    </x:row>
    <x:row r="171" ht="25" customHeight="1">
      <x:c r="A171" s="8" t="d">
        <x:v>2015-02-01T00:00:00.000Z</x:v>
      </x:c>
      <x:c r="B171" s="2" t="str">
        <x:v>Feb-15</x:v>
      </x:c>
      <x:c r="C171" s="10" t="n">
        <x:v>25866.62</x:v>
      </x:c>
      <x:c r="D171" s="10" t="n">
        <x:v>22643.15</x:v>
      </x:c>
      <x:c r="E171" s="10" t="n">
        <x:v>25842.26</x:v>
      </x:c>
      <x:c r="F171" s="10" t="n">
        <x:v>10601</x:v>
      </x:c>
      <x:c r="G171" s="10"/>
      <x:c r="H171" s="2" t="str"/>
    </x:row>
    <x:row r="172" ht="25" customHeight="1">
      <x:c r="A172" s="7" t="d">
        <x:v>2015-03-01T00:00:00.000Z</x:v>
      </x:c>
      <x:c r="B172" s="6" t="str">
        <x:v>Mar-15</x:v>
      </x:c>
      <x:c r="C172" s="9" t="n">
        <x:v>58111.61</x:v>
      </x:c>
      <x:c r="D172" s="9" t="n">
        <x:v>20624.37</x:v>
      </x:c>
      <x:c r="E172" s="9" t="n">
        <x:v>23047.29</x:v>
      </x:c>
      <x:c r="F172" s="9" t="n">
        <x:v>11315.78</x:v>
      </x:c>
      <x:c r="G172" s="9"/>
      <x:c r="H172" s="6" t="str"/>
    </x:row>
    <x:row r="173" ht="25" customHeight="1">
      <x:c r="A173" s="8" t="d">
        <x:v>2015-04-01T00:00:00.000Z</x:v>
      </x:c>
      <x:c r="B173" s="2" t="str">
        <x:v>Apr-15</x:v>
      </x:c>
      <x:c r="C173" s="10" t="n">
        <x:v>30708.82</x:v>
      </x:c>
      <x:c r="D173" s="10" t="n">
        <x:v>20170.48</x:v>
      </x:c>
      <x:c r="E173" s="10" t="n">
        <x:v>22956.53</x:v>
      </x:c>
      <x:c r="F173" s="10"/>
      <x:c r="G173" s="10"/>
      <x:c r="H173" s="2" t="str"/>
    </x:row>
    <x:row r="174" ht="25" customHeight="1">
      <x:c r="A174" s="7" t="d">
        <x:v>2015-05-01T00:00:00.000Z</x:v>
      </x:c>
      <x:c r="B174" s="6" t="str">
        <x:v>May-15</x:v>
      </x:c>
      <x:c r="C174" s="9" t="n">
        <x:v>45063.51</x:v>
      </x:c>
      <x:c r="D174" s="9" t="n">
        <x:v>32320.9</x:v>
      </x:c>
      <x:c r="E174" s="9" t="n">
        <x:v>36738.47</x:v>
      </x:c>
      <x:c r="F174" s="9"/>
      <x:c r="G174" s="9"/>
      <x:c r="H174" s="6" t="str"/>
    </x:row>
    <x:row r="175" ht="25" customHeight="1">
      <x:c r="A175" s="8" t="d">
        <x:v>2015-06-01T00:00:00.000Z</x:v>
      </x:c>
      <x:c r="B175" s="2" t="str">
        <x:v>Jun-15</x:v>
      </x:c>
      <x:c r="C175" s="10" t="n">
        <x:v>63019.51</x:v>
      </x:c>
      <x:c r="D175" s="10" t="n">
        <x:v>32420.09</x:v>
      </x:c>
      <x:c r="E175" s="10" t="n">
        <x:v>38138.77</x:v>
      </x:c>
      <x:c r="F175" s="10"/>
      <x:c r="G175" s="10"/>
      <x:c r="H175" s="2" t="str"/>
    </x:row>
    <x:row r="176" ht="25" customHeight="1">
      <x:c r="A176" s="7" t="d">
        <x:v>2015-07-01T00:00:00.000Z</x:v>
      </x:c>
      <x:c r="B176" s="6" t="str">
        <x:v>Jul-15</x:v>
      </x:c>
      <x:c r="C176" s="9" t="n">
        <x:v>30598.26</x:v>
      </x:c>
      <x:c r="D176" s="9" t="n">
        <x:v>19352.9</x:v>
      </x:c>
      <x:c r="E176" s="9" t="n">
        <x:v>22349.09</x:v>
      </x:c>
      <x:c r="F176" s="9"/>
      <x:c r="G176" s="9"/>
      <x:c r="H176" s="6" t="str"/>
    </x:row>
    <x:row r="177" ht="25" customHeight="1">
      <x:c r="A177" s="8" t="d">
        <x:v>2015-08-01T00:00:00.000Z</x:v>
      </x:c>
      <x:c r="B177" s="2" t="str">
        <x:v>Aug-15</x:v>
      </x:c>
      <x:c r="C177" s="10" t="n">
        <x:v>20497.55</x:v>
      </x:c>
      <x:c r="D177" s="10" t="n">
        <x:v>20090.28</x:v>
      </x:c>
      <x:c r="E177" s="10" t="n">
        <x:v>21395.54</x:v>
      </x:c>
      <x:c r="F177" s="10"/>
      <x:c r="G177" s="10"/>
      <x:c r="H177" s="2" t="str"/>
    </x:row>
    <x:row r="178" ht="25" customHeight="1">
      <x:c r="A178" s="7" t="d">
        <x:v>2015-09-01T00:00:00.000Z</x:v>
      </x:c>
      <x:c r="B178" s="6" t="str">
        <x:v>Sep-15</x:v>
      </x:c>
      <x:c r="C178" s="9" t="n">
        <x:v>27782.62</x:v>
      </x:c>
      <x:c r="D178" s="9" t="n">
        <x:v>12304.03</x:v>
      </x:c>
      <x:c r="E178" s="9" t="n">
        <x:v>14055.19</x:v>
      </x:c>
      <x:c r="F178" s="9"/>
      <x:c r="G178" s="9"/>
      <x:c r="H178" s="6" t="str"/>
    </x:row>
    <x:row r="179" ht="25" customHeight="1">
      <x:c r="A179" s="8" t="d">
        <x:v>2015-10-01T00:00:00.000Z</x:v>
      </x:c>
      <x:c r="B179" s="2" t="str">
        <x:v>Oct-15</x:v>
      </x:c>
      <x:c r="C179" s="10" t="n">
        <x:v>18867.86</x:v>
      </x:c>
      <x:c r="D179" s="10" t="n">
        <x:v>14935.48</x:v>
      </x:c>
      <x:c r="E179" s="10" t="n">
        <x:v>17160.37</x:v>
      </x:c>
      <x:c r="F179" s="10"/>
      <x:c r="G179" s="10"/>
      <x:c r="H179" s="2" t="str"/>
    </x:row>
    <x:row r="180" ht="25" customHeight="1">
      <x:c r="A180" s="7" t="d">
        <x:v>2015-11-01T00:00:00.000Z</x:v>
      </x:c>
      <x:c r="B180" s="6" t="str">
        <x:v>Nov-15</x:v>
      </x:c>
      <x:c r="C180" s="9" t="n">
        <x:v>34801.61</x:v>
      </x:c>
      <x:c r="D180" s="9" t="n">
        <x:v>23998.53</x:v>
      </x:c>
      <x:c r="E180" s="9" t="n">
        <x:v>26424.05</x:v>
      </x:c>
      <x:c r="F180" s="9" t="n">
        <x:v>2498.84</x:v>
      </x:c>
      <x:c r="G180" s="9"/>
      <x:c r="H180" s="6" t="str"/>
    </x:row>
    <x:row r="181" ht="25" customHeight="1">
      <x:c r="A181" s="8" t="d">
        <x:v>2015-12-01T00:00:00.000Z</x:v>
      </x:c>
      <x:c r="B181" s="2" t="str">
        <x:v>Dec-15</x:v>
      </x:c>
      <x:c r="C181" s="10" t="n">
        <x:v>15492.89</x:v>
      </x:c>
      <x:c r="D181" s="10" t="n">
        <x:v>5578.08</x:v>
      </x:c>
      <x:c r="E181" s="10" t="n">
        <x:v>5745.32</x:v>
      </x:c>
      <x:c r="F181" s="10" t="n">
        <x:v>3970.33</x:v>
      </x:c>
      <x:c r="G181" s="10"/>
      <x:c r="H181" s="2" t="str"/>
    </x:row>
    <x:row r="182" ht="25" customHeight="1">
      <x:c r="A182" s="7" t="d">
        <x:v>2016-01-01T00:00:00.000Z</x:v>
      </x:c>
      <x:c r="B182" s="6" t="str">
        <x:v>Jan-16</x:v>
      </x:c>
      <x:c r="C182" s="9" t="n">
        <x:v>20860.62</x:v>
      </x:c>
      <x:c r="D182" s="9" t="n">
        <x:v>13511.31</x:v>
      </x:c>
      <x:c r="E182" s="9" t="n">
        <x:v>13645.34</x:v>
      </x:c>
      <x:c r="F182" s="9" t="n">
        <x:v>12051.11</x:v>
      </x:c>
      <x:c r="G182" s="9"/>
      <x:c r="H182" s="6" t="str"/>
    </x:row>
    <x:row r="183" ht="25" customHeight="1">
      <x:c r="A183" s="8" t="d">
        <x:v>2016-02-01T00:00:00.000Z</x:v>
      </x:c>
      <x:c r="B183" s="2" t="str">
        <x:v>Feb-16</x:v>
      </x:c>
      <x:c r="C183" s="10" t="n">
        <x:v>18129.23</x:v>
      </x:c>
      <x:c r="D183" s="10" t="n">
        <x:v>11564.04</x:v>
      </x:c>
      <x:c r="E183" s="10" t="n">
        <x:v>12547.9</x:v>
      </x:c>
      <x:c r="F183" s="10" t="n">
        <x:v>12411.71</x:v>
      </x:c>
      <x:c r="G183" s="10"/>
      <x:c r="H183" s="2" t="str"/>
    </x:row>
    <x:row r="184" ht="25" customHeight="1">
      <x:c r="A184" s="7" t="d">
        <x:v>2016-03-01T00:00:00.000Z</x:v>
      </x:c>
      <x:c r="B184" s="6" t="str">
        <x:v>Mar-16</x:v>
      </x:c>
      <x:c r="C184" s="9" t="n">
        <x:v>16648.27</x:v>
      </x:c>
      <x:c r="D184" s="9" t="n">
        <x:v>18750.56</x:v>
      </x:c>
      <x:c r="E184" s="9" t="n">
        <x:v>20783.92</x:v>
      </x:c>
      <x:c r="F184" s="9" t="n">
        <x:v>9085</x:v>
      </x:c>
      <x:c r="G184" s="9"/>
      <x:c r="H184" s="6" t="str"/>
    </x:row>
    <x:row r="185" ht="25" customHeight="1">
      <x:c r="A185" s="8" t="d">
        <x:v>2016-04-01T00:00:00.000Z</x:v>
      </x:c>
      <x:c r="B185" s="2" t="str">
        <x:v>Apr-16</x:v>
      </x:c>
      <x:c r="C185" s="10" t="n">
        <x:v>19360.53</x:v>
      </x:c>
      <x:c r="D185" s="10" t="n">
        <x:v>17197.99</x:v>
      </x:c>
      <x:c r="E185" s="10" t="n">
        <x:v>17722.7</x:v>
      </x:c>
      <x:c r="F185" s="10" t="n">
        <x:v>14187.67</x:v>
      </x:c>
      <x:c r="G185" s="10"/>
      <x:c r="H185" s="2" t="str"/>
    </x:row>
    <x:row r="186" ht="25" customHeight="1">
      <x:c r="A186" s="7" t="d">
        <x:v>2016-05-01T00:00:00.000Z</x:v>
      </x:c>
      <x:c r="B186" s="6" t="str">
        <x:v>May-16</x:v>
      </x:c>
      <x:c r="C186" s="9" t="n">
        <x:v>30020.57</x:v>
      </x:c>
      <x:c r="D186" s="9" t="n">
        <x:v>17729.25</x:v>
      </x:c>
      <x:c r="E186" s="9" t="n">
        <x:v>18773.24</x:v>
      </x:c>
      <x:c r="F186" s="9" t="n">
        <x:v>18682.91</x:v>
      </x:c>
      <x:c r="G186" s="9"/>
      <x:c r="H186" s="6" t="str"/>
    </x:row>
    <x:row r="187" ht="25" customHeight="1">
      <x:c r="A187" s="8" t="d">
        <x:v>2016-06-01T00:00:00.000Z</x:v>
      </x:c>
      <x:c r="B187" s="2" t="str">
        <x:v>Jun-16</x:v>
      </x:c>
      <x:c r="C187" s="10" t="n">
        <x:v>40027.82</x:v>
      </x:c>
      <x:c r="D187" s="10" t="n">
        <x:v>19938.24</x:v>
      </x:c>
      <x:c r="E187" s="10" t="n">
        <x:v>20422.46</x:v>
      </x:c>
      <x:c r="F187" s="10" t="n">
        <x:v>13065.33</x:v>
      </x:c>
      <x:c r="G187" s="10"/>
      <x:c r="H187" s="2" t="str"/>
    </x:row>
    <x:row r="188" ht="25" customHeight="1">
      <x:c r="A188" s="7" t="d">
        <x:v>2016-07-01T00:00:00.000Z</x:v>
      </x:c>
      <x:c r="B188" s="6" t="str">
        <x:v>Jul-16</x:v>
      </x:c>
      <x:c r="C188" s="9" t="n">
        <x:v>18693.4</x:v>
      </x:c>
      <x:c r="D188" s="9" t="n">
        <x:v>9017.15</x:v>
      </x:c>
      <x:c r="E188" s="9" t="n">
        <x:v>9311.88</x:v>
      </x:c>
      <x:c r="F188" s="9" t="n">
        <x:v>7014.88</x:v>
      </x:c>
      <x:c r="G188" s="9"/>
      <x:c r="H188" s="6" t="str"/>
    </x:row>
    <x:row r="189" ht="25" customHeight="1">
      <x:c r="A189" s="8" t="d">
        <x:v>2016-08-01T00:00:00.000Z</x:v>
      </x:c>
      <x:c r="B189" s="2" t="str">
        <x:v>Aug-16</x:v>
      </x:c>
      <x:c r="C189" s="10" t="n">
        <x:v>29248.58</x:v>
      </x:c>
      <x:c r="D189" s="10" t="n">
        <x:v>13122.81</x:v>
      </x:c>
      <x:c r="E189" s="10" t="n">
        <x:v>13565.09</x:v>
      </x:c>
      <x:c r="F189" s="10" t="n">
        <x:v>7026.16</x:v>
      </x:c>
      <x:c r="G189" s="10"/>
      <x:c r="H189" s="2" t="str"/>
    </x:row>
    <x:row r="190" ht="25" customHeight="1">
      <x:c r="A190" s="7" t="d">
        <x:v>2016-09-01T00:00:00.000Z</x:v>
      </x:c>
      <x:c r="B190" s="6" t="str">
        <x:v>Sep-16</x:v>
      </x:c>
      <x:c r="C190" s="9" t="n">
        <x:v>20719.54</x:v>
      </x:c>
      <x:c r="D190" s="9" t="n">
        <x:v>13138.91</x:v>
      </x:c>
      <x:c r="E190" s="9" t="n">
        <x:v>13439.32</x:v>
      </x:c>
      <x:c r="F190" s="9" t="n">
        <x:v>9443.9</x:v>
      </x:c>
      <x:c r="G190" s="9"/>
      <x:c r="H190" s="6" t="str"/>
    </x:row>
    <x:row r="191" ht="25" customHeight="1">
      <x:c r="A191" s="8" t="d">
        <x:v>2016-10-01T00:00:00.000Z</x:v>
      </x:c>
      <x:c r="B191" s="2" t="str">
        <x:v>Oct-16</x:v>
      </x:c>
      <x:c r="C191" s="10" t="n">
        <x:v>18509.15</x:v>
      </x:c>
      <x:c r="D191" s="10" t="n">
        <x:v>10042.92</x:v>
      </x:c>
      <x:c r="E191" s="10" t="n">
        <x:v>10521.3</x:v>
      </x:c>
      <x:c r="F191" s="10" t="n">
        <x:v>12367.67</x:v>
      </x:c>
      <x:c r="G191" s="10"/>
      <x:c r="H191" s="2" t="str"/>
    </x:row>
    <x:row r="192" ht="25" customHeight="1">
      <x:c r="A192" s="7" t="d">
        <x:v>2016-11-01T00:00:00.000Z</x:v>
      </x:c>
      <x:c r="B192" s="6" t="str">
        <x:v>Nov-16</x:v>
      </x:c>
      <x:c r="C192" s="9" t="n">
        <x:v>17197.5</x:v>
      </x:c>
      <x:c r="D192" s="9" t="n">
        <x:v>20344.26</x:v>
      </x:c>
      <x:c r="E192" s="9" t="n">
        <x:v>192.68</x:v>
      </x:c>
      <x:c r="F192" s="9" t="n">
        <x:v>11958.82</x:v>
      </x:c>
      <x:c r="G192" s="9"/>
      <x:c r="H192" s="6" t="str"/>
    </x:row>
    <x:row r="193" ht="25" customHeight="1">
      <x:c r="A193" s="8" t="d">
        <x:v>2016-12-01T00:00:00.000Z</x:v>
      </x:c>
      <x:c r="B193" s="2" t="str">
        <x:v>Dec-16</x:v>
      </x:c>
      <x:c r="C193" s="10" t="n">
        <x:v>45053.49</x:v>
      </x:c>
      <x:c r="D193" s="10" t="n">
        <x:v>12290.57</x:v>
      </x:c>
      <x:c r="E193" s="10" t="n">
        <x:v>12457.19</x:v>
      </x:c>
      <x:c r="F193" s="10" t="n">
        <x:v>15037.87</x:v>
      </x:c>
      <x:c r="G193" s="10"/>
      <x:c r="H193" s="2" t="str"/>
    </x:row>
    <x:row r="194" ht="25" customHeight="1">
      <x:c r="A194" s="7" t="d">
        <x:v>2017-01-01T00:00:00.000Z</x:v>
      </x:c>
      <x:c r="B194" s="6" t="str">
        <x:v>Jan-17</x:v>
      </x:c>
      <x:c r="C194" s="9" t="n">
        <x:v>60475.47</x:v>
      </x:c>
      <x:c r="D194" s="9" t="n">
        <x:v>15839.61</x:v>
      </x:c>
      <x:c r="E194" s="9" t="n">
        <x:v>15949.79</x:v>
      </x:c>
      <x:c r="F194" s="9" t="n">
        <x:v>17840.37</x:v>
      </x:c>
      <x:c r="G194" s="9" t="n">
        <x:v>632966</x:v>
      </x:c>
      <x:c r="H194" s="6" t="str">
        <x:v>J39</x:v>
      </x:c>
    </x:row>
    <x:row r="195" ht="25" customHeight="1">
      <x:c r="A195" s="8" t="d">
        <x:v>2017-02-01T00:00:00.000Z</x:v>
      </x:c>
      <x:c r="B195" s="2" t="str">
        <x:v>Feb-17</x:v>
      </x:c>
      <x:c r="C195" s="10" t="n">
        <x:v>41817.83</x:v>
      </x:c>
      <x:c r="D195" s="10" t="n">
        <x:v>13107.15</x:v>
      </x:c>
      <x:c r="E195" s="10" t="n">
        <x:v>13162.51</x:v>
      </x:c>
      <x:c r="F195" s="10" t="n">
        <x:v>22847.57</x:v>
      </x:c>
      <x:c r="G195" s="10" t="n">
        <x:v>754186</x:v>
      </x:c>
      <x:c r="H195" s="2" t="str">
        <x:v>J40</x:v>
      </x:c>
    </x:row>
    <x:row r="196" ht="25" customHeight="1">
      <x:c r="A196" s="7" t="d">
        <x:v>2017-03-01T00:00:00.000Z</x:v>
      </x:c>
      <x:c r="B196" s="6" t="str">
        <x:v>Mar-17</x:v>
      </x:c>
      <x:c r="C196" s="9" t="n">
        <x:v>59354.35</x:v>
      </x:c>
      <x:c r="D196" s="9" t="n">
        <x:v>17942.36</x:v>
      </x:c>
      <x:c r="E196" s="9" t="n">
        <x:v>18123.78</x:v>
      </x:c>
      <x:c r="F196" s="9" t="n">
        <x:v>32119.63</x:v>
      </x:c>
      <x:c r="G196" s="9" t="n">
        <x:v>911149</x:v>
      </x:c>
      <x:c r="H196" s="6" t="str">
        <x:v>J41</x:v>
      </x:c>
    </x:row>
    <x:row r="197" ht="25" customHeight="1">
      <x:c r="A197" s="8" t="d">
        <x:v>2017-04-01T00:00:00.000Z</x:v>
      </x:c>
      <x:c r="B197" s="2" t="str">
        <x:v>Apr-17</x:v>
      </x:c>
      <x:c r="C197" s="10" t="n">
        <x:v>35797.83</x:v>
      </x:c>
      <x:c r="D197" s="10" t="n">
        <x:v>14903.59</x:v>
      </x:c>
      <x:c r="E197" s="10" t="n">
        <x:v>15045.34</x:v>
      </x:c>
      <x:c r="F197" s="10" t="n">
        <x:v>14589.98</x:v>
      </x:c>
      <x:c r="G197" s="10" t="n">
        <x:v>619908.28</x:v>
      </x:c>
      <x:c r="H197" s="2" t="str">
        <x:v>J42</x:v>
      </x:c>
    </x:row>
    <x:row r="198" ht="25" customHeight="1">
      <x:c r="A198" s="7" t="d">
        <x:v>2017-05-01T00:00:00.000Z</x:v>
      </x:c>
      <x:c r="B198" s="6" t="str">
        <x:v>May-17</x:v>
      </x:c>
      <x:c r="C198" s="9" t="n">
        <x:v>23347.91</x:v>
      </x:c>
      <x:c r="D198" s="9" t="n">
        <x:v>13161.31</x:v>
      </x:c>
      <x:c r="E198" s="9" t="n">
        <x:v>13462.07</x:v>
      </x:c>
      <x:c r="F198" s="9" t="n">
        <x:v>5893.92</x:v>
      </x:c>
      <x:c r="G198" s="9" t="n">
        <x:v>610902.44</x:v>
      </x:c>
      <x:c r="H198" s="6" t="str">
        <x:v>J43</x:v>
      </x:c>
    </x:row>
    <x:row r="199" ht="25" customHeight="1">
      <x:c r="A199" s="8" t="d">
        <x:v>2017-06-01T00:00:00.000Z</x:v>
      </x:c>
      <x:c r="B199" s="2" t="str">
        <x:v>Jun-17</x:v>
      </x:c>
      <x:c r="C199" s="10" t="n">
        <x:v>27877.77</x:v>
      </x:c>
      <x:c r="D199" s="10" t="n">
        <x:v>11924.27</x:v>
      </x:c>
      <x:c r="E199" s="10" t="n">
        <x:v>12054.74</x:v>
      </x:c>
      <x:c r="F199" s="10" t="n">
        <x:v>6355.08</x:v>
      </x:c>
      <x:c r="G199" s="10" t="n">
        <x:v>446759.96</x:v>
      </x:c>
      <x:c r="H199" s="2" t="str">
        <x:v>J44</x:v>
      </x:c>
    </x:row>
    <x:row r="200" ht="25" customHeight="1">
      <x:c r="A200" s="7" t="d">
        <x:v>2017-07-01T00:00:00.000Z</x:v>
      </x:c>
      <x:c r="B200" s="6" t="str">
        <x:v>Jul-17</x:v>
      </x:c>
      <x:c r="C200" s="9" t="n">
        <x:v>32654.82</x:v>
      </x:c>
      <x:c r="D200" s="9" t="n">
        <x:v>9818.41</x:v>
      </x:c>
      <x:c r="E200" s="9" t="n">
        <x:v>9976.8</x:v>
      </x:c>
      <x:c r="F200" s="9" t="n">
        <x:v>8726.49</x:v>
      </x:c>
      <x:c r="G200" s="9" t="n">
        <x:v>449619.14</x:v>
      </x:c>
      <x:c r="H200" s="6" t="str">
        <x:v>J45</x:v>
      </x:c>
    </x:row>
    <x:row r="201" ht="25" customHeight="1">
      <x:c r="A201" s="8" t="d">
        <x:v>2017-08-01T00:00:00.000Z</x:v>
      </x:c>
      <x:c r="B201" s="2" t="str">
        <x:v>Aug-17</x:v>
      </x:c>
      <x:c r="C201" s="10" t="n">
        <x:v>23688.16</x:v>
      </x:c>
      <x:c r="D201" s="10" t="n">
        <x:v>16452.15</x:v>
      </x:c>
      <x:c r="E201" s="10" t="n">
        <x:v>18395.52</x:v>
      </x:c>
      <x:c r="F201" s="10" t="n">
        <x:v>7026.16</x:v>
      </x:c>
      <x:c r="G201" s="10" t="n">
        <x:v>297738</x:v>
      </x:c>
      <x:c r="H201" s="2" t="str">
        <x:v>J46</x:v>
      </x:c>
    </x:row>
    <x:row r="202" ht="25" customHeight="1">
      <x:c r="A202" s="7" t="d">
        <x:v>2017-09-01T00:00:00.000Z</x:v>
      </x:c>
      <x:c r="B202" s="6" t="str">
        <x:v>Sep-17</x:v>
      </x:c>
      <x:c r="C202" s="9" t="n">
        <x:v>58172.78</x:v>
      </x:c>
      <x:c r="D202" s="9" t="n">
        <x:v>22395.98</x:v>
      </x:c>
      <x:c r="E202" s="9" t="n">
        <x:v>22477.55</x:v>
      </x:c>
      <x:c r="F202" s="9" t="n">
        <x:v>10817.87</x:v>
      </x:c>
      <x:c r="G202" s="9" t="n">
        <x:v>614373.05</x:v>
      </x:c>
      <x:c r="H202" s="6" t="str">
        <x:v>J47</x:v>
      </x:c>
    </x:row>
    <x:row r="203" ht="25" customHeight="1">
      <x:c r="A203" s="8" t="d">
        <x:v>2017-10-01T00:00:00.000Z</x:v>
      </x:c>
      <x:c r="B203" s="2" t="str">
        <x:v>Oct-17</x:v>
      </x:c>
      <x:c r="C203" s="10" t="n">
        <x:v>18857.76</x:v>
      </x:c>
      <x:c r="D203" s="10" t="n">
        <x:v>11070.53</x:v>
      </x:c>
      <x:c r="E203" s="10" t="n">
        <x:v>11377.9</x:v>
      </x:c>
      <x:c r="F203" s="10" t="n">
        <x:v>5688.52</x:v>
      </x:c>
      <x:c r="G203" s="10" t="n">
        <x:v>605450.43</x:v>
      </x:c>
      <x:c r="H203" s="2" t="str">
        <x:v>J48</x:v>
      </x:c>
    </x:row>
    <x:row r="204" ht="25" customHeight="1">
      <x:c r="A204" s="7" t="d">
        <x:v>2017-11-01T00:00:00.000Z</x:v>
      </x:c>
      <x:c r="B204" s="6" t="str">
        <x:v>Nov-17</x:v>
      </x:c>
      <x:c r="C204" s="9" t="n">
        <x:v>21037.35</x:v>
      </x:c>
      <x:c r="D204" s="9" t="n">
        <x:v>32921.24</x:v>
      </x:c>
      <x:c r="E204" s="9" t="n">
        <x:v>992.76</x:v>
      </x:c>
      <x:c r="F204" s="9"/>
      <x:c r="G204" s="9" t="n">
        <x:v>0</x:v>
      </x:c>
      <x:c r="H204" s="6" t="str">
        <x:v>J49</x:v>
      </x:c>
    </x:row>
    <x:row r="205" ht="25" customHeight="1">
      <x:c r="A205" s="8" t="d">
        <x:v>2017-12-01T00:00:00.000Z</x:v>
      </x:c>
      <x:c r="B205" s="2" t="str">
        <x:v>Dec-17</x:v>
      </x:c>
      <x:c r="C205" s="10" t="n">
        <x:v>48762.98</x:v>
      </x:c>
      <x:c r="D205" s="10" t="n">
        <x:v>18489.46</x:v>
      </x:c>
      <x:c r="E205" s="10" t="n">
        <x:v>479.49</x:v>
      </x:c>
      <x:c r="F205" s="10"/>
      <x:c r="G205" s="10" t="n">
        <x:v>0</x:v>
      </x:c>
      <x:c r="H205" s="2" t="str">
        <x:v>J50</x:v>
      </x:c>
    </x:row>
    <x:row r="206" ht="25" customHeight="1">
      <x:c r="A206" s="7" t="d">
        <x:v>2018-01-01T00:00:00.000Z</x:v>
      </x:c>
      <x:c r="B206" s="6" t="str">
        <x:v>Jan-18</x:v>
      </x:c>
      <x:c r="C206" s="9" t="n">
        <x:v>62337</x:v>
      </x:c>
      <x:c r="D206" s="9" t="n">
        <x:v>21491.72</x:v>
      </x:c>
      <x:c r="E206" s="9" t="n">
        <x:v>21646.85</x:v>
      </x:c>
      <x:c r="F206" s="9"/>
      <x:c r="G206" s="9" t="n">
        <x:v>0</x:v>
      </x:c>
      <x:c r="H206" s="6" t="str">
        <x:v>J7</x:v>
      </x:c>
    </x:row>
    <x:row r="207" ht="25" customHeight="1">
      <x:c r="A207" s="8" t="d">
        <x:v>2018-02-01T00:00:00.000Z</x:v>
      </x:c>
      <x:c r="B207" s="2" t="str">
        <x:v>Feb-18</x:v>
      </x:c>
      <x:c r="C207" s="10" t="n">
        <x:v>51589.67</x:v>
      </x:c>
      <x:c r="D207" s="10" t="n">
        <x:v>18809.7</x:v>
      </x:c>
      <x:c r="E207" s="10" t="n">
        <x:v>19038.25</x:v>
      </x:c>
      <x:c r="F207" s="10" t="n">
        <x:v>2756.42</x:v>
      </x:c>
      <x:c r="G207" s="10" t="n">
        <x:v>199563</x:v>
      </x:c>
      <x:c r="H207" s="2" t="str">
        <x:v>J8</x:v>
      </x:c>
    </x:row>
    <x:row r="208" ht="25" customHeight="1">
      <x:c r="A208" s="7" t="d">
        <x:v>2018-03-01T00:00:00.000Z</x:v>
      </x:c>
      <x:c r="B208" s="6" t="str">
        <x:v>Mar-18</x:v>
      </x:c>
      <x:c r="C208" s="9" t="n">
        <x:v>20838.51</x:v>
      </x:c>
      <x:c r="D208" s="9" t="n">
        <x:v>19949.98</x:v>
      </x:c>
      <x:c r="E208" s="9" t="n">
        <x:v>20197.66</x:v>
      </x:c>
      <x:c r="F208" s="9" t="n">
        <x:v>5591.14</x:v>
      </x:c>
      <x:c r="G208" s="9" t="n">
        <x:v>460382.51</x:v>
      </x:c>
      <x:c r="H208" s="6" t="str">
        <x:v>J9</x:v>
      </x:c>
    </x:row>
    <x:row r="209" ht="25" customHeight="1">
      <x:c r="A209" s="8" t="d">
        <x:v>2018-04-01T00:00:00.000Z</x:v>
      </x:c>
      <x:c r="B209" s="2" t="str">
        <x:v>Apr-18</x:v>
      </x:c>
      <x:c r="C209" s="10" t="n">
        <x:v>12762.04</x:v>
      </x:c>
      <x:c r="D209" s="10" t="n">
        <x:v>38939.99</x:v>
      </x:c>
      <x:c r="E209" s="10" t="n">
        <x:v>39182.6</x:v>
      </x:c>
      <x:c r="F209" s="10" t="n">
        <x:v>2366.27</x:v>
      </x:c>
      <x:c r="G209" s="10" t="n">
        <x:v>155493.73</x:v>
      </x:c>
      <x:c r="H209" s="2" t="str">
        <x:v>J10</x:v>
      </x:c>
    </x:row>
    <x:row r="210" ht="25" customHeight="1">
      <x:c r="A210" s="7" t="d">
        <x:v>2018-05-01T00:00:00.000Z</x:v>
      </x:c>
      <x:c r="B210" s="6" t="str">
        <x:v>May-18</x:v>
      </x:c>
      <x:c r="C210" s="9" t="n">
        <x:v>50321.91</x:v>
      </x:c>
      <x:c r="D210" s="9" t="n">
        <x:v>17244.33</x:v>
      </x:c>
      <x:c r="E210" s="9" t="n">
        <x:v>17411.95</x:v>
      </x:c>
      <x:c r="F210" s="9" t="n">
        <x:v>2435.42</x:v>
      </x:c>
      <x:c r="G210" s="9" t="n">
        <x:v>153145.78</x:v>
      </x:c>
      <x:c r="H210" s="6" t="str">
        <x:v>J11</x:v>
      </x:c>
    </x:row>
    <x:row r="211" ht="25" customHeight="1">
      <x:c r="A211" s="8" t="d">
        <x:v>2018-06-01T00:00:00.000Z</x:v>
      </x:c>
      <x:c r="B211" s="2" t="str">
        <x:v>Jun-18</x:v>
      </x:c>
      <x:c r="C211" s="10" t="n">
        <x:v>37564.68</x:v>
      </x:c>
      <x:c r="D211" s="10" t="n">
        <x:v>23079.99</x:v>
      </x:c>
      <x:c r="E211" s="10" t="n">
        <x:v>23101</x:v>
      </x:c>
      <x:c r="F211" s="10"/>
      <x:c r="G211" s="10" t="n">
        <x:v>0</x:v>
      </x:c>
      <x:c r="H211" s="2" t="str">
        <x:v>J12</x:v>
      </x:c>
    </x:row>
    <x:row r="212" ht="25" customHeight="1">
      <x:c r="A212" s="7" t="d">
        <x:v>2018-07-01T00:00:00.000Z</x:v>
      </x:c>
      <x:c r="B212" s="6" t="str">
        <x:v>Jul-18</x:v>
      </x:c>
      <x:c r="C212" s="9" t="n">
        <x:v>20580.33</x:v>
      </x:c>
      <x:c r="D212" s="9" t="n">
        <x:v>15617.6</x:v>
      </x:c>
      <x:c r="E212" s="9" t="n">
        <x:v>112194.51</x:v>
      </x:c>
      <x:c r="F212" s="9"/>
      <x:c r="G212" s="9" t="n">
        <x:v>0</x:v>
      </x:c>
      <x:c r="H212" s="6" t="str">
        <x:v>J13</x:v>
      </x:c>
    </x:row>
    <x:row r="213" ht="25" customHeight="1">
      <x:c r="A213" s="8" t="d">
        <x:v>2018-08-01T00:00:00.000Z</x:v>
      </x:c>
      <x:c r="B213" s="2" t="str">
        <x:v>Aug-18</x:v>
      </x:c>
      <x:c r="C213" s="10" t="n">
        <x:v>39594.69</x:v>
      </x:c>
      <x:c r="D213" s="10" t="n">
        <x:v>18948.91</x:v>
      </x:c>
      <x:c r="E213" s="10" t="n">
        <x:v>19065.85</x:v>
      </x:c>
      <x:c r="F213" s="10"/>
      <x:c r="G213" s="10" t="n">
        <x:v>0</x:v>
      </x:c>
      <x:c r="H213" s="2" t="str">
        <x:v>J14</x:v>
      </x:c>
    </x:row>
    <x:row r="214" ht="25" customHeight="1">
      <x:c r="A214" s="7" t="d">
        <x:v>2018-09-01T00:00:00.000Z</x:v>
      </x:c>
      <x:c r="B214" s="6" t="str">
        <x:v>Sep-18</x:v>
      </x:c>
      <x:c r="C214" s="9" t="n">
        <x:v>26246.1</x:v>
      </x:c>
      <x:c r="D214" s="9" t="n">
        <x:v>11778.33</x:v>
      </x:c>
      <x:c r="E214" s="9" t="n">
        <x:v>12195.46</x:v>
      </x:c>
      <x:c r="F214" s="9"/>
      <x:c r="G214" s="9" t="n">
        <x:v>0</x:v>
      </x:c>
      <x:c r="H214" s="6" t="str">
        <x:v>J15</x:v>
      </x:c>
    </x:row>
    <x:row r="215" ht="25" customHeight="1">
      <x:c r="A215" s="8" t="d">
        <x:v>2018-10-01T00:00:00.000Z</x:v>
      </x:c>
      <x:c r="B215" s="2" t="str">
        <x:v>Oct-18</x:v>
      </x:c>
      <x:c r="C215" s="10" t="n">
        <x:v>21034.5</x:v>
      </x:c>
      <x:c r="D215" s="10" t="n">
        <x:v>21642.75</x:v>
      </x:c>
      <x:c r="E215" s="10" t="n">
        <x:v>22086.1</x:v>
      </x:c>
      <x:c r="F215" s="10"/>
      <x:c r="G215" s="10"/>
      <x:c r="H215" s="2" t="str">
        <x:v>J16</x:v>
      </x:c>
    </x:row>
    <x:row r="216" ht="25" customHeight="1">
      <x:c r="A216" s="7" t="d">
        <x:v>2018-11-01T00:00:00.000Z</x:v>
      </x:c>
      <x:c r="B216" s="6" t="str">
        <x:v>Nov-18</x:v>
      </x:c>
      <x:c r="C216" s="9" t="n">
        <x:v>43178.65</x:v>
      </x:c>
      <x:c r="D216" s="9" t="n">
        <x:v>25000.83</x:v>
      </x:c>
      <x:c r="E216" s="9" t="n">
        <x:v>25248.64</x:v>
      </x:c>
      <x:c r="F216" s="9"/>
      <x:c r="G216" s="9"/>
      <x:c r="H216" s="6" t="str">
        <x:v>J17</x:v>
      </x:c>
    </x:row>
    <x:row r="217" ht="25" customHeight="1">
      <x:c r="A217" s="8" t="d">
        <x:v>2018-12-01T00:00:00.000Z</x:v>
      </x:c>
      <x:c r="B217" s="2" t="str">
        <x:v>Dec-18</x:v>
      </x:c>
      <x:c r="C217" s="10" t="n">
        <x:v>23299.46</x:v>
      </x:c>
      <x:c r="D217" s="10" t="n">
        <x:v>4319.49</x:v>
      </x:c>
      <x:c r="E217" s="10" t="n">
        <x:v>4489.8</x:v>
      </x:c>
      <x:c r="F217" s="10"/>
      <x:c r="G217" s="10"/>
      <x:c r="H217" s="2" t="str">
        <x:v>J18</x:v>
      </x:c>
    </x:row>
    <x:row r="218" ht="25" customHeight="1">
      <x:c r="A218" s="7" t="d">
        <x:v>2019-01-01T00:00:00.000Z</x:v>
      </x:c>
      <x:c r="B218" s="6" t="str">
        <x:v>Jan-19</x:v>
      </x:c>
      <x:c r="C218" s="9" t="n">
        <x:v>28124.19</x:v>
      </x:c>
      <x:c r="D218" s="9" t="n">
        <x:v>37491.09</x:v>
      </x:c>
      <x:c r="E218" s="9" t="n">
        <x:v>37637.93</x:v>
      </x:c>
      <x:c r="F218" s="9"/>
      <x:c r="G218" s="9"/>
      <x:c r="H218" s="6" t="str"/>
    </x:row>
    <x:row r="219" ht="25" customHeight="1">
      <x:c r="A219" s="8" t="d">
        <x:v>2019-02-01T00:00:00.000Z</x:v>
      </x:c>
      <x:c r="B219" s="2" t="str">
        <x:v>Feb-19</x:v>
      </x:c>
      <x:c r="C219" s="10" t="n">
        <x:v>15257.56</x:v>
      </x:c>
      <x:c r="D219" s="10" t="n">
        <x:v>12869.33</x:v>
      </x:c>
      <x:c r="E219" s="10" t="n">
        <x:v>13166.18</x:v>
      </x:c>
      <x:c r="F219" s="10"/>
      <x:c r="G219" s="10"/>
      <x:c r="H219" s="2" t="str"/>
    </x:row>
    <x:row r="220" ht="25" customHeight="1">
      <x:c r="A220" s="7" t="d">
        <x:v>2019-03-01T00:00:00.000Z</x:v>
      </x:c>
      <x:c r="B220" s="6" t="str">
        <x:v>Mar-19</x:v>
      </x:c>
      <x:c r="C220" s="9" t="n">
        <x:v>21477.77</x:v>
      </x:c>
      <x:c r="D220" s="9" t="n">
        <x:v>19680.31</x:v>
      </x:c>
      <x:c r="E220" s="9" t="n">
        <x:v>19918.01</x:v>
      </x:c>
      <x:c r="F220" s="9"/>
      <x:c r="G220" s="9"/>
      <x:c r="H220" s="6" t="str"/>
    </x:row>
    <x:row r="221" ht="25" customHeight="1">
      <x:c r="A221" s="8" t="d">
        <x:v>2019-04-01T00:00:00.000Z</x:v>
      </x:c>
      <x:c r="B221" s="2" t="str">
        <x:v>Apr-19</x:v>
      </x:c>
      <x:c r="C221" s="10" t="n">
        <x:v>21207.35</x:v>
      </x:c>
      <x:c r="D221" s="10" t="n">
        <x:v>7013.42</x:v>
      </x:c>
      <x:c r="E221" s="10" t="n">
        <x:v>7160.36</x:v>
      </x:c>
      <x:c r="F221" s="10"/>
      <x:c r="G221" s="10"/>
      <x:c r="H221" s="2" t="str"/>
    </x:row>
    <x:row r="222" ht="25" customHeight="1">
      <x:c r="A222" s="7" t="d">
        <x:v>2019-05-01T00:00:00.000Z</x:v>
      </x:c>
      <x:c r="B222" s="6" t="str">
        <x:v>May-19</x:v>
      </x:c>
      <x:c r="C222" s="9" t="n">
        <x:v>23136.61</x:v>
      </x:c>
      <x:c r="D222" s="9" t="n">
        <x:v>23898.29</x:v>
      </x:c>
      <x:c r="E222" s="9" t="n">
        <x:v>29338.45</x:v>
      </x:c>
      <x:c r="F222" s="9"/>
      <x:c r="G222" s="9"/>
      <x:c r="H222" s="6" t="str"/>
    </x:row>
    <x:row r="223" ht="25" customHeight="1">
      <x:c r="A223" s="8" t="d">
        <x:v>2019-06-01T00:00:00.000Z</x:v>
      </x:c>
      <x:c r="B223" s="2" t="str">
        <x:v>Jun-19</x:v>
      </x:c>
      <x:c r="C223" s="10" t="n">
        <x:v>22223.76</x:v>
      </x:c>
      <x:c r="D223" s="10" t="n">
        <x:v>14062.76</x:v>
      </x:c>
      <x:c r="E223" s="10" t="n">
        <x:v>17865.45</x:v>
      </x:c>
      <x:c r="F223" s="10"/>
      <x:c r="G223" s="10"/>
      <x:c r="H223" s="2" t="str"/>
    </x:row>
    <x:row r="224" ht="25" customHeight="1">
      <x:c r="A224" s="7" t="d">
        <x:v>2019-07-01T00:00:00.000Z</x:v>
      </x:c>
      <x:c r="B224" s="6" t="str">
        <x:v>Jul-19</x:v>
      </x:c>
      <x:c r="C224" s="9" t="n">
        <x:v>39680.64</x:v>
      </x:c>
      <x:c r="D224" s="9" t="n">
        <x:v>14832.46</x:v>
      </x:c>
      <x:c r="E224" s="9" t="n">
        <x:v>28716.02</x:v>
      </x:c>
      <x:c r="F224" s="9" t="n">
        <x:v>4690.03</x:v>
      </x:c>
      <x:c r="G224" s="9"/>
      <x:c r="H224" s="6" t="str"/>
    </x:row>
    <x:row r="225" ht="25" customHeight="1">
      <x:c r="A225" s="8" t="d">
        <x:v>2019-08-01T00:00:00.000Z</x:v>
      </x:c>
      <x:c r="B225" s="2" t="str">
        <x:v>Aug-19</x:v>
      </x:c>
      <x:c r="C225" s="10" t="n">
        <x:v>31996.68</x:v>
      </x:c>
      <x:c r="D225" s="10" t="n">
        <x:v>18493.7</x:v>
      </x:c>
      <x:c r="E225" s="10" t="n">
        <x:v>24413.54</x:v>
      </x:c>
      <x:c r="F225" s="10"/>
      <x:c r="G225" s="10"/>
      <x:c r="H225" s="2" t="str"/>
    </x:row>
    <x:row r="226" ht="25" customHeight="1">
      <x:c r="A226" s="7" t="d">
        <x:v>2019-09-01T00:00:00.000Z</x:v>
      </x:c>
      <x:c r="B226" s="6" t="str">
        <x:v>Sep-19</x:v>
      </x:c>
      <x:c r="C226" s="9" t="n">
        <x:v>33858.83</x:v>
      </x:c>
      <x:c r="D226" s="9" t="n">
        <x:v>18493.7</x:v>
      </x:c>
      <x:c r="E226" s="9" t="n">
        <x:v>26703.65</x:v>
      </x:c>
      <x:c r="F226" s="9"/>
      <x:c r="G226" s="9"/>
      <x:c r="H226" s="6" t="str"/>
    </x:row>
    <x:row r="227" ht="25" customHeight="1">
      <x:c r="A227" s="8" t="d">
        <x:v>2019-10-01T00:00:00.000Z</x:v>
      </x:c>
      <x:c r="B227" s="2" t="str">
        <x:v>Oct-19</x:v>
      </x:c>
      <x:c r="C227" s="10" t="n">
        <x:v>14883.97</x:v>
      </x:c>
      <x:c r="D227" s="10" t="n">
        <x:v>7777.94</x:v>
      </x:c>
      <x:c r="E227" s="10" t="n">
        <x:v>8787.49</x:v>
      </x:c>
      <x:c r="F227" s="10"/>
      <x:c r="G227" s="10"/>
      <x:c r="H227" s="2" t="str"/>
    </x:row>
    <x:row r="228" ht="25" customHeight="1">
      <x:c r="A228" s="7" t="d">
        <x:v>2019-11-01T00:00:00.000Z</x:v>
      </x:c>
      <x:c r="B228" s="6" t="str">
        <x:v>Nov-19</x:v>
      </x:c>
      <x:c r="C228" s="9" t="n">
        <x:v>24188.16</x:v>
      </x:c>
      <x:c r="D228" s="9" t="n">
        <x:v>21454.72</x:v>
      </x:c>
      <x:c r="E228" s="9" t="n">
        <x:v>8420.99</x:v>
      </x:c>
      <x:c r="F228" s="9"/>
      <x:c r="G228" s="9"/>
      <x:c r="H228" s="6" t="str"/>
    </x:row>
    <x:row r="229" ht="25" customHeight="1">
      <x:c r="A229" s="8" t="d">
        <x:v>2019-12-01T00:00:00.000Z</x:v>
      </x:c>
      <x:c r="B229" s="2" t="str">
        <x:v>Dec-19</x:v>
      </x:c>
      <x:c r="C229" s="10" t="n">
        <x:v>12254.86</x:v>
      </x:c>
      <x:c r="D229" s="10" t="n">
        <x:v>13552.97</x:v>
      </x:c>
      <x:c r="E229" s="10" t="n">
        <x:v>9942.09</x:v>
      </x:c>
      <x:c r="F229" s="10"/>
      <x:c r="G229" s="10"/>
      <x:c r="H229" s="2" t="str"/>
    </x:row>
    <x:row r="230" ht="25" customHeight="1">
      <x:c r="A230" s="7" t="d">
        <x:v>2020-01-01T00:00:00.000Z</x:v>
      </x:c>
      <x:c r="B230" s="6" t="str">
        <x:v>Jan-20</x:v>
      </x:c>
      <x:c r="C230" s="9" t="n">
        <x:v>36741.76</x:v>
      </x:c>
      <x:c r="D230" s="9" t="n">
        <x:v>34131.05</x:v>
      </x:c>
      <x:c r="E230" s="9" t="n">
        <x:v>43267.77</x:v>
      </x:c>
      <x:c r="F230" s="9"/>
      <x:c r="G230" s="9"/>
      <x:c r="H230" s="6" t="str"/>
    </x:row>
    <x:row r="231" ht="25" customHeight="1">
      <x:c r="A231" s="8" t="d">
        <x:v>2020-02-01T00:00:00.000Z</x:v>
      </x:c>
      <x:c r="B231" s="2" t="str">
        <x:v>Feb-20</x:v>
      </x:c>
      <x:c r="C231" s="10" t="n">
        <x:v>16907.71</x:v>
      </x:c>
      <x:c r="D231" s="10" t="n">
        <x:v>25250.32</x:v>
      </x:c>
      <x:c r="E231" s="10" t="n">
        <x:v>33648.64</x:v>
      </x:c>
      <x:c r="F231" s="10"/>
      <x:c r="G231" s="10"/>
      <x:c r="H231" s="2" t="str"/>
    </x:row>
    <x:row r="232" ht="25" customHeight="1">
      <x:c r="A232" s="7" t="d">
        <x:v>2020-03-01T00:00:00.000Z</x:v>
      </x:c>
      <x:c r="B232" s="6" t="str">
        <x:v>Mar-20</x:v>
      </x:c>
      <x:c r="C232" s="9" t="n">
        <x:v>28100.98</x:v>
      </x:c>
      <x:c r="D232" s="9" t="n">
        <x:v>18530.72</x:v>
      </x:c>
      <x:c r="E232" s="9" t="n">
        <x:v>26656.59</x:v>
      </x:c>
      <x:c r="F232" s="9"/>
      <x:c r="G232" s="9"/>
      <x:c r="H232" s="6" t="str"/>
    </x:row>
    <x:row r="233" ht="25" customHeight="1">
      <x:c r="A233" s="8" t="d">
        <x:v>2020-04-01T00:00:00.000Z</x:v>
      </x:c>
      <x:c r="B233" s="2" t="str">
        <x:v>Apr-20</x:v>
      </x:c>
      <x:c r="C233" s="10" t="n">
        <x:v>52645.23</x:v>
      </x:c>
      <x:c r="D233" s="10" t="n">
        <x:v>21211.75</x:v>
      </x:c>
      <x:c r="E233" s="10" t="n">
        <x:v>27023.74</x:v>
      </x:c>
      <x:c r="F233" s="10"/>
      <x:c r="G233" s="10"/>
      <x:c r="H233" s="2" t="str"/>
    </x:row>
    <x:row r="234" ht="25" customHeight="1">
      <x:c r="A234" s="7" t="d">
        <x:v>2020-05-01T00:00:00.000Z</x:v>
      </x:c>
      <x:c r="B234" s="6" t="str">
        <x:v>May-20</x:v>
      </x:c>
      <x:c r="C234" s="9" t="n">
        <x:v>60638.41</x:v>
      </x:c>
      <x:c r="D234" s="9" t="n">
        <x:v>6350.37</x:v>
      </x:c>
      <x:c r="E234" s="9" t="n">
        <x:v>11976.71</x:v>
      </x:c>
      <x:c r="F234" s="9"/>
      <x:c r="G234" s="9"/>
      <x:c r="H234" s="6" t="str"/>
    </x:row>
    <x:row r="235" ht="25" customHeight="1">
      <x:c r="A235" s="8" t="d">
        <x:v>2020-06-01T00:00:00.000Z</x:v>
      </x:c>
      <x:c r="B235" s="2" t="str">
        <x:v>Jun-20</x:v>
      </x:c>
      <x:c r="C235" s="10" t="n">
        <x:v>29037.62</x:v>
      </x:c>
      <x:c r="D235" s="10" t="n">
        <x:v>12853.91</x:v>
      </x:c>
      <x:c r="E235" s="10" t="n">
        <x:v>21228.12</x:v>
      </x:c>
      <x:c r="F235" s="10"/>
      <x:c r="G235" s="10"/>
      <x:c r="H235" s="2" t="str"/>
    </x:row>
    <x:row r="236" ht="25" customHeight="1">
      <x:c r="A236" s="7" t="d">
        <x:v>2020-07-01T00:00:00.000Z</x:v>
      </x:c>
      <x:c r="B236" s="6" t="str">
        <x:v>Jul-20</x:v>
      </x:c>
      <x:c r="C236" s="9" t="n">
        <x:v>54703.93</x:v>
      </x:c>
      <x:c r="D236" s="9" t="n">
        <x:v>18346.69</x:v>
      </x:c>
      <x:c r="E236" s="9" t="n">
        <x:v>25149.09</x:v>
      </x:c>
      <x:c r="F236" s="9"/>
      <x:c r="G236" s="9"/>
      <x:c r="H236" s="6" t="str"/>
    </x:row>
    <x:row r="237" ht="25" customHeight="1">
      <x:c r="A237" s="8" t="d">
        <x:v>2020-08-01T00:00:00.000Z</x:v>
      </x:c>
      <x:c r="B237" s="2" t="str">
        <x:v>Aug-20</x:v>
      </x:c>
      <x:c r="C237" s="10" t="n">
        <x:v>38958.3</x:v>
      </x:c>
      <x:c r="D237" s="10" t="n">
        <x:v>9684.85</x:v>
      </x:c>
      <x:c r="E237" s="10" t="n">
        <x:v>15762.61</x:v>
      </x:c>
      <x:c r="F237" s="10"/>
      <x:c r="G237" s="10"/>
      <x:c r="H237" s="2" t="str"/>
    </x:row>
    <x:row r="238" ht="25" customHeight="1">
      <x:c r="A238" s="7" t="d">
        <x:v>2020-09-01T00:00:00.000Z</x:v>
      </x:c>
      <x:c r="B238" s="6" t="str">
        <x:v>Sep-20</x:v>
      </x:c>
      <x:c r="C238" s="9" t="n">
        <x:v>31227.77</x:v>
      </x:c>
      <x:c r="D238" s="9" t="n">
        <x:v>15608.95</x:v>
      </x:c>
      <x:c r="E238" s="9" t="n">
        <x:v>22898.48</x:v>
      </x:c>
      <x:c r="F238" s="9"/>
      <x:c r="G238" s="9"/>
      <x:c r="H238" s="6" t="str"/>
    </x:row>
    <x:row r="239" ht="25" customHeight="1">
      <x:c r="A239" s="8" t="d">
        <x:v>2020-10-01T00:00:00.000Z</x:v>
      </x:c>
      <x:c r="B239" s="2" t="str">
        <x:v>Oct-20</x:v>
      </x:c>
      <x:c r="C239" s="10" t="n">
        <x:v>57572.34</x:v>
      </x:c>
      <x:c r="D239" s="10" t="n">
        <x:v>11624.47</x:v>
      </x:c>
      <x:c r="E239" s="10" t="n">
        <x:v>17960.99</x:v>
      </x:c>
      <x:c r="F239" s="10"/>
      <x:c r="G239" s="10"/>
      <x:c r="H239" s="2" t="str"/>
    </x:row>
    <x:row r="240" ht="25" customHeight="1">
      <x:c r="A240" s="7" t="d">
        <x:v>2020-11-01T00:00:00.000Z</x:v>
      </x:c>
      <x:c r="B240" s="6" t="str">
        <x:v>Nov-20</x:v>
      </x:c>
      <x:c r="C240" s="9" t="n">
        <x:v>24350.54</x:v>
      </x:c>
      <x:c r="D240" s="9" t="n">
        <x:v>17404.46</x:v>
      </x:c>
      <x:c r="E240" s="9" t="n">
        <x:v>24129.82</x:v>
      </x:c>
      <x:c r="F240" s="9"/>
      <x:c r="G240" s="9"/>
      <x:c r="H240" s="6" t="str"/>
    </x:row>
    <x:row r="241" ht="25" customHeight="1">
      <x:c r="A241" s="8" t="d">
        <x:v>2020-12-01T00:00:00.000Z</x:v>
      </x:c>
      <x:c r="B241" s="2" t="str">
        <x:v>Dec-20</x:v>
      </x:c>
      <x:c r="C241" s="10" t="n">
        <x:v>21145.82</x:v>
      </x:c>
      <x:c r="D241" s="10" t="n">
        <x:v>13481.73</x:v>
      </x:c>
      <x:c r="E241" s="10" t="n">
        <x:v>22160.28</x:v>
      </x:c>
      <x:c r="F241" s="10"/>
      <x:c r="G241" s="10"/>
      <x:c r="H241" s="2" t="str"/>
    </x:row>
    <x:row r="242" ht="25" customHeight="1">
      <x:c r="A242" s="7" t="d">
        <x:v>2021-01-01T00:00:00.000Z</x:v>
      </x:c>
      <x:c r="B242" s="6" t="str">
        <x:v>Jan-21</x:v>
      </x:c>
      <x:c r="C242" s="9" t="n">
        <x:v>13444.95</x:v>
      </x:c>
      <x:c r="D242" s="9" t="n">
        <x:v>18322.8</x:v>
      </x:c>
      <x:c r="E242" s="9" t="n">
        <x:v>27029.01</x:v>
      </x:c>
      <x:c r="F242" s="9" t="n">
        <x:v>4457.96</x:v>
      </x:c>
      <x:c r="G242" s="9"/>
      <x:c r="H242" s="6" t="str"/>
    </x:row>
    <x:row r="243" ht="25" customHeight="1">
      <x:c r="A243" s="8" t="d">
        <x:v>2021-02-01T00:00:00.000Z</x:v>
      </x:c>
      <x:c r="B243" s="2" t="str">
        <x:v>Feb-21</x:v>
      </x:c>
      <x:c r="C243" s="10" t="n">
        <x:v>16564.36</x:v>
      </x:c>
      <x:c r="D243" s="10" t="n">
        <x:v>13988.4</x:v>
      </x:c>
      <x:c r="E243" s="10" t="n">
        <x:v>22668.05</x:v>
      </x:c>
      <x:c r="F243" s="10" t="n">
        <x:v>3464.76</x:v>
      </x:c>
      <x:c r="G243" s="10"/>
      <x:c r="H243" s="2" t="str"/>
    </x:row>
    <x:row r="244" ht="25" customHeight="1">
      <x:c r="A244" s="7" t="d">
        <x:v>2021-03-01T00:00:00.000Z</x:v>
      </x:c>
      <x:c r="B244" s="6" t="str">
        <x:v>Mar-21</x:v>
      </x:c>
      <x:c r="C244" s="9" t="n">
        <x:v>21082.88</x:v>
      </x:c>
      <x:c r="D244" s="9" t="n">
        <x:v>26978.47</x:v>
      </x:c>
      <x:c r="E244" s="9" t="n">
        <x:v>38632.78</x:v>
      </x:c>
      <x:c r="F244" s="9" t="n">
        <x:v>6043.17</x:v>
      </x:c>
      <x:c r="G244" s="9"/>
      <x:c r="H244" s="6" t="str"/>
    </x:row>
    <x:row r="245" ht="25" customHeight="1">
      <x:c r="A245" s="8" t="d">
        <x:v>2021-04-01T00:00:00.000Z</x:v>
      </x:c>
      <x:c r="B245" s="2" t="str">
        <x:v>Apr-21</x:v>
      </x:c>
      <x:c r="C245" s="10" t="n">
        <x:v>87253.5</x:v>
      </x:c>
      <x:c r="D245" s="10" t="n">
        <x:v>30907.99</x:v>
      </x:c>
      <x:c r="E245" s="10" t="n">
        <x:v>42270.8</x:v>
      </x:c>
      <x:c r="F245" s="10" t="n">
        <x:v>11136.37</x:v>
      </x:c>
      <x:c r="G245" s="10"/>
      <x:c r="H245" s="2" t="str"/>
    </x:row>
    <x:row r="246" ht="25" customHeight="1">
      <x:c r="A246" s="7" t="d">
        <x:v>2021-05-01T00:00:00.000Z</x:v>
      </x:c>
      <x:c r="B246" s="6" t="str">
        <x:v>May-21</x:v>
      </x:c>
      <x:c r="C246" s="9" t="n">
        <x:v>15851.18</x:v>
      </x:c>
      <x:c r="D246" s="9" t="n">
        <x:v>24480.26</x:v>
      </x:c>
      <x:c r="E246" s="9" t="n">
        <x:v>36029.33</x:v>
      </x:c>
      <x:c r="F246" s="9" t="n">
        <x:v>18051.12</x:v>
      </x:c>
      <x:c r="G246" s="9"/>
      <x:c r="H246" s="6" t="str"/>
    </x:row>
    <x:row r="247" ht="25" customHeight="1">
      <x:c r="A247" s="8" t="d">
        <x:v>2021-06-01T00:00:00.000Z</x:v>
      </x:c>
      <x:c r="B247" s="2" t="str">
        <x:v>Jun-21</x:v>
      </x:c>
      <x:c r="C247" s="10" t="n">
        <x:v>40083</x:v>
      </x:c>
      <x:c r="D247" s="10" t="n">
        <x:v>27540.27</x:v>
      </x:c>
      <x:c r="E247" s="10" t="n">
        <x:v>38859.71</x:v>
      </x:c>
      <x:c r="F247" s="10" t="n">
        <x:v>24886.59</x:v>
      </x:c>
      <x:c r="G247" s="10"/>
      <x:c r="H247" s="2" t="str"/>
    </x:row>
    <x:row r="248" ht="25" customHeight="1">
      <x:c r="A248" s="7" t="d">
        <x:v>2021-07-01T00:00:00.000Z</x:v>
      </x:c>
      <x:c r="B248" s="6" t="str">
        <x:v>Jul-21</x:v>
      </x:c>
      <x:c r="C248" s="9" t="n">
        <x:v>52601</x:v>
      </x:c>
      <x:c r="D248" s="9" t="n">
        <x:v>25535.58</x:v>
      </x:c>
      <x:c r="E248" s="9" t="n">
        <x:v>42408.4</x:v>
      </x:c>
      <x:c r="F248" s="9" t="n">
        <x:v>16243.78</x:v>
      </x:c>
      <x:c r="G248" s="9"/>
      <x:c r="H248" s="6" t="str"/>
    </x:row>
    <x:row r="249" ht="25" customHeight="1">
      <x:c r="A249" s="8" t="d">
        <x:v>2021-08-01T00:00:00.000Z</x:v>
      </x:c>
      <x:c r="B249" s="2" t="str">
        <x:v>Aug-21</x:v>
      </x:c>
      <x:c r="C249" s="10" t="n">
        <x:v>12255.74</x:v>
      </x:c>
      <x:c r="D249" s="10" t="n">
        <x:v>10254.63</x:v>
      </x:c>
      <x:c r="E249" s="10" t="n">
        <x:v>19642.77</x:v>
      </x:c>
      <x:c r="F249" s="10" t="n">
        <x:v>20613.7</x:v>
      </x:c>
      <x:c r="G249" s="10"/>
      <x:c r="H249" s="2" t="str"/>
    </x:row>
    <x:row r="250" ht="25" customHeight="1">
      <x:c r="A250" s="7" t="d">
        <x:v>2021-09-01T00:00:00.000Z</x:v>
      </x:c>
      <x:c r="B250" s="6" t="str">
        <x:v>Sep-21</x:v>
      </x:c>
      <x:c r="C250" s="9" t="n">
        <x:v>49726.79</x:v>
      </x:c>
      <x:c r="D250" s="9" t="n">
        <x:v>30742.54</x:v>
      </x:c>
      <x:c r="E250" s="9" t="n">
        <x:v>10124.69</x:v>
      </x:c>
      <x:c r="F250" s="9" t="n">
        <x:v>22022.6</x:v>
      </x:c>
      <x:c r="G250" s="9"/>
      <x:c r="H250" s="6" t="str"/>
    </x:row>
    <x:row r="251" ht="25" customHeight="1">
      <x:c r="A251" s="8" t="d">
        <x:v>2021-10-01T00:00:00.000Z</x:v>
      </x:c>
      <x:c r="B251" s="2" t="str">
        <x:v>Oct-21</x:v>
      </x:c>
      <x:c r="C251" s="10" t="n">
        <x:v>57572.34</x:v>
      </x:c>
      <x:c r="D251" s="10" t="n">
        <x:v>25355.71</x:v>
      </x:c>
      <x:c r="E251" s="10" t="n">
        <x:v>17960.99</x:v>
      </x:c>
      <x:c r="F251" s="10" t="n">
        <x:v>1643.26</x:v>
      </x:c>
      <x:c r="G251" s="10"/>
      <x:c r="H251" s="2" t="str"/>
    </x:row>
    <x:row r="252" ht="25" customHeight="1">
      <x:c r="A252" s="7" t="d">
        <x:v>2021-11-01T00:00:00.000Z</x:v>
      </x:c>
      <x:c r="B252" s="6" t="str">
        <x:v>Nov-21</x:v>
      </x:c>
      <x:c r="C252" s="9" t="n">
        <x:v>25521.75</x:v>
      </x:c>
      <x:c r="D252" s="9" t="n">
        <x:v>21856.46</x:v>
      </x:c>
      <x:c r="E252" s="9" t="n">
        <x:v>26431.97</x:v>
      </x:c>
      <x:c r="F252" s="9" t="n">
        <x:v>8565.94</x:v>
      </x:c>
      <x:c r="G252" s="9"/>
      <x:c r="H252" s="6" t="str"/>
    </x:row>
    <x:row r="253" ht="25" customHeight="1">
      <x:c r="A253" s="8" t="d">
        <x:v>2021-12-01T00:00:00.000Z</x:v>
      </x:c>
      <x:c r="B253" s="2" t="str">
        <x:v>Dec-21</x:v>
      </x:c>
      <x:c r="C253" s="10" t="n">
        <x:v>77473.32</x:v>
      </x:c>
      <x:c r="D253" s="10" t="n">
        <x:v>27805.25</x:v>
      </x:c>
      <x:c r="E253" s="10" t="n">
        <x:v>23421.15</x:v>
      </x:c>
      <x:c r="F253" s="10" t="n">
        <x:v>7700.86</x:v>
      </x:c>
      <x:c r="G253" s="10"/>
      <x:c r="H253" s="2" t="str"/>
    </x:row>
    <x:row r="254" ht="25" customHeight="1">
      <x:c r="A254" s="7" t="d">
        <x:v>2022-01-01T00:00:00.000Z</x:v>
      </x:c>
      <x:c r="B254" s="6" t="str">
        <x:v>Jan-22</x:v>
      </x:c>
      <x:c r="C254" s="9" t="n">
        <x:v>14005.73</x:v>
      </x:c>
      <x:c r="D254" s="9" t="n">
        <x:v>33560.21</x:v>
      </x:c>
      <x:c r="E254" s="9" t="n">
        <x:v>46670.45</x:v>
      </x:c>
      <x:c r="F254" s="9" t="n">
        <x:v>33087.68</x:v>
      </x:c>
      <x:c r="G254" s="9"/>
      <x:c r="H254" s="6" t="str"/>
    </x:row>
    <x:row r="255" ht="25" customHeight="1">
      <x:c r="A255" s="8" t="d">
        <x:v>2022-02-01T00:00:00.000Z</x:v>
      </x:c>
      <x:c r="B255" s="2" t="str">
        <x:v>Feb-22</x:v>
      </x:c>
      <x:c r="C255" s="10" t="n">
        <x:v>31911.04</x:v>
      </x:c>
      <x:c r="D255" s="10" t="n">
        <x:v>35544.66</x:v>
      </x:c>
      <x:c r="E255" s="10" t="n">
        <x:v>44230.31</x:v>
      </x:c>
      <x:c r="F255" s="10" t="n">
        <x:v>38760.05</x:v>
      </x:c>
      <x:c r="G255" s="10"/>
      <x:c r="H255" s="2" t="str"/>
    </x:row>
    <x:row r="256" ht="25" customHeight="1">
      <x:c r="A256" s="7" t="d">
        <x:v>2022-03-01T00:00:00.000Z</x:v>
      </x:c>
      <x:c r="B256" s="6" t="str">
        <x:v>Mar-22</x:v>
      </x:c>
      <x:c r="C256" s="9" t="n">
        <x:v>34603.6</x:v>
      </x:c>
      <x:c r="D256" s="9" t="n">
        <x:v>28166.18</x:v>
      </x:c>
      <x:c r="E256" s="9" t="n">
        <x:v>42740.48</x:v>
      </x:c>
      <x:c r="F256" s="9" t="n">
        <x:v>41347.1</x:v>
      </x:c>
      <x:c r="G256" s="9"/>
      <x:c r="H256" s="6" t="str"/>
    </x:row>
    <x:row r="257" ht="25" customHeight="1">
      <x:c r="A257" s="8" t="d">
        <x:v>2022-04-01T00:00:00.000Z</x:v>
      </x:c>
      <x:c r="B257" s="2" t="str">
        <x:v>Apr-22</x:v>
      </x:c>
      <x:c r="C257" s="10" t="n">
        <x:v>19492.74</x:v>
      </x:c>
      <x:c r="D257" s="10" t="n">
        <x:v>54684.67</x:v>
      </x:c>
      <x:c r="E257" s="10" t="n">
        <x:v>67488.22</x:v>
      </x:c>
      <x:c r="F257" s="10" t="n">
        <x:v>50022.22</x:v>
      </x:c>
      <x:c r="G257" s="10"/>
      <x:c r="H257" s="2" t="str"/>
    </x:row>
    <x:row r="258" ht="25" customHeight="1">
      <x:c r="A258" s="7" t="d">
        <x:v>2022-05-01T00:00:00.000Z</x:v>
      </x:c>
      <x:c r="B258" s="6" t="str">
        <x:v>May-22</x:v>
      </x:c>
      <x:c r="C258" s="9" t="n">
        <x:v>47862.58</x:v>
      </x:c>
      <x:c r="D258" s="9" t="n">
        <x:v>72087.82</x:v>
      </x:c>
      <x:c r="E258" s="9" t="n">
        <x:v>86995.08</x:v>
      </x:c>
      <x:c r="F258" s="9" t="n">
        <x:v>56903.2</x:v>
      </x:c>
      <x:c r="G258" s="9"/>
      <x:c r="H258" s="6" t="str"/>
    </x:row>
    <x:row r="259" ht="25" customHeight="1">
      <x:c r="A259" s="8" t="d">
        <x:v>2022-06-01T00:00:00.000Z</x:v>
      </x:c>
      <x:c r="B259" s="2" t="str">
        <x:v>Jun-22</x:v>
      </x:c>
      <x:c r="C259" s="10" t="n">
        <x:v>58172.72</x:v>
      </x:c>
      <x:c r="D259" s="10" t="n">
        <x:v>15489.62</x:v>
      </x:c>
      <x:c r="E259" s="10" t="n">
        <x:v>43075.48</x:v>
      </x:c>
      <x:c r="F259" s="10" t="n">
        <x:v>32629.47</x:v>
      </x:c>
      <x:c r="G259" s="10"/>
      <x:c r="H259" s="2" t="str"/>
    </x:row>
    <x:row r="260" ht="25" customHeight="1">
      <x:c r="A260" s="7" t="d">
        <x:v>2022-07-01T00:00:00.000Z</x:v>
      </x:c>
      <x:c r="B260" s="6" t="str">
        <x:v>Jul-22</x:v>
      </x:c>
      <x:c r="C260" s="9" t="n">
        <x:v>45504.04</x:v>
      </x:c>
      <x:c r="D260" s="9" t="n">
        <x:v>48941.69</x:v>
      </x:c>
      <x:c r="E260" s="9" t="n">
        <x:v>59367.38</x:v>
      </x:c>
      <x:c r="F260" s="9" t="n">
        <x:v>14735.18</x:v>
      </x:c>
      <x:c r="G260" s="9"/>
      <x:c r="H260" s="6" t="str"/>
    </x:row>
    <x:row r="261" ht="25" customHeight="1">
      <x:c r="A261" s="8" t="d">
        <x:v>2022-08-01T00:00:00.000Z</x:v>
      </x:c>
      <x:c r="B261" s="2" t="str">
        <x:v>Aug-22</x:v>
      </x:c>
      <x:c r="C261" s="10" t="n">
        <x:v>28419.05</x:v>
      </x:c>
      <x:c r="D261" s="10" t="n">
        <x:v>35136.41</x:v>
      </x:c>
      <x:c r="E261" s="10" t="n">
        <x:v>47549.97</x:v>
      </x:c>
      <x:c r="F261" s="10" t="n">
        <x:v>15800.08</x:v>
      </x:c>
      <x:c r="G261" s="10"/>
      <x:c r="H261" s="2" t="str"/>
    </x:row>
    <x:row r="262" ht="25" customHeight="1">
      <x:c r="A262" s="7" t="d">
        <x:v>2022-09-01T00:00:00.000Z</x:v>
      </x:c>
      <x:c r="B262" s="6" t="str">
        <x:v>Sep-22</x:v>
      </x:c>
      <x:c r="C262" s="9" t="n">
        <x:v>57611.9</x:v>
      </x:c>
      <x:c r="D262" s="9" t="n">
        <x:v>38347.85</x:v>
      </x:c>
      <x:c r="E262" s="9" t="n">
        <x:v>49884.67</x:v>
      </x:c>
      <x:c r="F262" s="9" t="n">
        <x:v>35031.58</x:v>
      </x:c>
      <x:c r="G262" s="9"/>
      <x:c r="H262" s="6" t="str"/>
    </x:row>
    <x:row r="263" ht="25" customHeight="1">
      <x:c r="A263" s="8" t="d">
        <x:v>2022-10-01T00:00:00.000Z</x:v>
      </x:c>
      <x:c r="B263" s="2" t="str">
        <x:v>Oct-22</x:v>
      </x:c>
      <x:c r="C263" s="10" t="n">
        <x:v>28769.61</x:v>
      </x:c>
      <x:c r="D263" s="10" t="n">
        <x:v>5542.21</x:v>
      </x:c>
      <x:c r="E263" s="10" t="n">
        <x:v>16069.53</x:v>
      </x:c>
      <x:c r="F263" s="10" t="n">
        <x:v>51530.61</x:v>
      </x:c>
      <x:c r="G263" s="10"/>
      <x:c r="H263" s="2" t="str"/>
    </x:row>
    <x:row r="264" ht="25" customHeight="1">
      <x:c r="A264" s="7" t="d">
        <x:v>2022-11-01T00:00:00.000Z</x:v>
      </x:c>
      <x:c r="B264" s="6" t="str">
        <x:v>Nov-22</x:v>
      </x:c>
      <x:c r="C264" s="9" t="n">
        <x:v>75035.44</x:v>
      </x:c>
      <x:c r="D264" s="9" t="n">
        <x:v>40250.33</x:v>
      </x:c>
      <x:c r="E264" s="9" t="n">
        <x:v>49835.33</x:v>
      </x:c>
      <x:c r="F264" s="9" t="n">
        <x:v>37248.85</x:v>
      </x:c>
      <x:c r="G264" s="9"/>
      <x:c r="H264" s="6" t="str"/>
    </x:row>
    <x:row r="265" ht="25" customHeight="1">
      <x:c r="A265" s="8" t="d">
        <x:v>2022-12-01T00:00:00.000Z</x:v>
      </x:c>
      <x:c r="B265" s="2" t="str">
        <x:v>Dec-22</x:v>
      </x:c>
      <x:c r="C265" s="10" t="n">
        <x:v>45574.87</x:v>
      </x:c>
      <x:c r="D265" s="10" t="n">
        <x:v>44255.31</x:v>
      </x:c>
      <x:c r="E265" s="10" t="n">
        <x:v>49492.24</x:v>
      </x:c>
      <x:c r="F265" s="10" t="n">
        <x:v>45258.33</x:v>
      </x:c>
      <x:c r="G265" s="10"/>
      <x:c r="H265" s="2" t="str"/>
    </x:row>
    <x:row r="266" ht="25" customHeight="1">
      <x:c r="A266" s="7" t="d">
        <x:v>2023-01-01T00:00:00.000Z</x:v>
      </x:c>
      <x:c r="B266" s="6" t="str">
        <x:v>Jan-23</x:v>
      </x:c>
      <x:c r="C266" s="9" t="n">
        <x:v>11928.41</x:v>
      </x:c>
      <x:c r="D266" s="9" t="n">
        <x:v>35044.19</x:v>
      </x:c>
      <x:c r="E266" s="9" t="n">
        <x:v>64338.89</x:v>
      </x:c>
      <x:c r="F266" s="9" t="n">
        <x:v>59182.69</x:v>
      </x:c>
      <x:c r="G266" s="9"/>
      <x:c r="H266" s="6" t="str"/>
    </x:row>
    <x:row r="267" ht="25" customHeight="1">
      <x:c r="A267" s="8" t="d">
        <x:v>2023-02-01T00:00:00.000Z</x:v>
      </x:c>
      <x:c r="B267" s="2" t="str">
        <x:v>Feb-23</x:v>
      </x:c>
      <x:c r="C267" s="10" t="n">
        <x:v>31624.99</x:v>
      </x:c>
      <x:c r="D267" s="10" t="n">
        <x:v>48923.73</x:v>
      </x:c>
      <x:c r="E267" s="10" t="n">
        <x:v>57804.11</x:v>
      </x:c>
      <x:c r="F267" s="10" t="n">
        <x:v>50991.43</x:v>
      </x:c>
      <x:c r="G267" s="10"/>
      <x:c r="H267" s="2" t="str"/>
    </x:row>
    <x:row r="268" ht="25" customHeight="1">
      <x:c r="A268" s="7" t="d">
        <x:v>2023-03-01T00:00:00.000Z</x:v>
      </x:c>
      <x:c r="B268" s="6" t="str">
        <x:v>Mar-23</x:v>
      </x:c>
      <x:c r="C268" s="9" t="n">
        <x:v>42071.62</x:v>
      </x:c>
      <x:c r="D268" s="9" t="n">
        <x:v>40035.79</x:v>
      </x:c>
      <x:c r="E268" s="9" t="n">
        <x:v>55948.01</x:v>
      </x:c>
      <x:c r="F268" s="9" t="n">
        <x:v>77925.06</x:v>
      </x:c>
      <x:c r="G268" s="9"/>
      <x:c r="H268" s="6" t="str"/>
    </x:row>
    <x:row r="269" ht="25" customHeight="1">
      <x:c r="A269" s="8" t="d">
        <x:v>2023-04-01T00:00:00.000Z</x:v>
      </x:c>
      <x:c r="B269" s="2" t="str">
        <x:v>Apr-23</x:v>
      </x:c>
      <x:c r="C269" s="10" t="n">
        <x:v>50656.75</x:v>
      </x:c>
      <x:c r="D269" s="10" t="n">
        <x:v>22580.72</x:v>
      </x:c>
      <x:c r="E269" s="10" t="n">
        <x:v>28306.13</x:v>
      </x:c>
      <x:c r="F269" s="10" t="n">
        <x:v>81658.43</x:v>
      </x:c>
      <x:c r="G269" s="10"/>
      <x:c r="H269" s="2" t="str"/>
    </x:row>
    <x:row r="270" ht="25" customHeight="1">
      <x:c r="A270" s="7" t="d">
        <x:v>2023-05-01T00:00:00.000Z</x:v>
      </x:c>
      <x:c r="B270" s="6" t="str">
        <x:v>May-23</x:v>
      </x:c>
      <x:c r="C270" s="9" t="n">
        <x:v>37791.38</x:v>
      </x:c>
      <x:c r="D270" s="9" t="n">
        <x:v>51210.93</x:v>
      </x:c>
      <x:c r="E270" s="9" t="n">
        <x:v>60313.22</x:v>
      </x:c>
      <x:c r="F270" s="9" t="n">
        <x:v>84081.59</x:v>
      </x:c>
      <x:c r="G270" s="9"/>
      <x:c r="H270" s="6" t="str"/>
    </x:row>
    <x:row r="271" ht="25" customHeight="1">
      <x:c r="A271" s="8" t="d">
        <x:v>2023-06-01T00:00:00.000Z</x:v>
      </x:c>
      <x:c r="B271" s="2" t="str">
        <x:v>Jun-23</x:v>
      </x:c>
      <x:c r="C271" s="10" t="n">
        <x:v>50594.97</x:v>
      </x:c>
      <x:c r="D271" s="10" t="n">
        <x:v>30972.99</x:v>
      </x:c>
      <x:c r="E271" s="10" t="n">
        <x:v>38974.3</x:v>
      </x:c>
      <x:c r="F271" s="10" t="n">
        <x:v>50883.98</x:v>
      </x:c>
      <x:c r="G271" s="10"/>
      <x:c r="H271" s="2" t="str"/>
    </x:row>
    <x:row r="272" ht="25" customHeight="1">
      <x:c r="A272" s="7" t="d">
        <x:v>2023-07-01T00:00:00.000Z</x:v>
      </x:c>
      <x:c r="B272" s="6" t="str">
        <x:v>Jul-23</x:v>
      </x:c>
      <x:c r="C272" s="9" t="n">
        <x:v>34130.58</x:v>
      </x:c>
      <x:c r="D272" s="9" t="n">
        <x:v>38273.12</x:v>
      </x:c>
      <x:c r="E272" s="9" t="n">
        <x:v>45347.1</x:v>
      </x:c>
      <x:c r="F272" s="9" t="n">
        <x:v>63944.54</x:v>
      </x:c>
      <x:c r="G272" s="9"/>
      <x:c r="H272" s="6" t="str"/>
    </x:row>
    <x:row r="273" ht="25" customHeight="1">
      <x:c r="A273" s="8" t="d">
        <x:v>2023-08-01T00:00:00.000Z</x:v>
      </x:c>
      <x:c r="B273" s="2" t="str">
        <x:v>Aug-23</x:v>
      </x:c>
      <x:c r="C273" s="10" t="n">
        <x:v>69192.98</x:v>
      </x:c>
      <x:c r="D273" s="10" t="n">
        <x:v>28294.83</x:v>
      </x:c>
      <x:c r="E273" s="10" t="n">
        <x:v>44810.97</x:v>
      </x:c>
      <x:c r="F273" s="10" t="n">
        <x:v>35471.59</x:v>
      </x:c>
      <x:c r="G273" s="10"/>
      <x:c r="H273" s="2" t="str"/>
    </x:row>
    <x:row r="274" ht="25" customHeight="1">
      <x:c r="A274" s="7" t="d">
        <x:v>2023-09-01T00:00:00.000Z</x:v>
      </x:c>
      <x:c r="B274" s="6" t="str">
        <x:v>Sep-23</x:v>
      </x:c>
      <x:c r="C274" s="9" t="n">
        <x:v>35049.97</x:v>
      </x:c>
      <x:c r="D274" s="9" t="n">
        <x:v>26295.59</x:v>
      </x:c>
      <x:c r="E274" s="9" t="n">
        <x:v>24355.51</x:v>
      </x:c>
      <x:c r="F274" s="9" t="n">
        <x:v>57458.07</x:v>
      </x:c>
      <x:c r="G274" s="9"/>
      <x:c r="H274" s="6" t="str"/>
    </x:row>
    <x:row r="275" ht="25" customHeight="1">
      <x:c r="A275" s="8" t="d">
        <x:v>2023-10-01T00:00:00.000Z</x:v>
      </x:c>
      <x:c r="B275" s="2" t="str">
        <x:v>Oct-23</x:v>
      </x:c>
      <x:c r="C275" s="10" t="n">
        <x:v>20187.3</x:v>
      </x:c>
      <x:c r="D275" s="10" t="n">
        <x:v>42234.98</x:v>
      </x:c>
      <x:c r="E275" s="10" t="n">
        <x:v>63186.03</x:v>
      </x:c>
      <x:c r="F275" s="10" t="n">
        <x:v>63522.43</x:v>
      </x:c>
      <x:c r="G275" s="10"/>
      <x:c r="H275" s="2" t="str"/>
    </x:row>
    <x:row r="276" ht="25" customHeight="1">
      <x:c r="A276" s="7" t="d">
        <x:v>2023-11-01T00:00:00.000Z</x:v>
      </x:c>
      <x:c r="B276" s="6" t="str">
        <x:v>Nov-23</x:v>
      </x:c>
      <x:c r="C276" s="9" t="n">
        <x:v>22034.96</x:v>
      </x:c>
      <x:c r="D276" s="9" t="n">
        <x:v>1969.28</x:v>
      </x:c>
      <x:c r="E276" s="9" t="n">
        <x:v>18873.52</x:v>
      </x:c>
      <x:c r="F276" s="9" t="n">
        <x:v>57305.7</x:v>
      </x:c>
      <x:c r="G276" s="9"/>
      <x:c r="H276" s="6" t="str"/>
    </x:row>
    <x:row r="277" ht="25" customHeight="1">
      <x:c r="A277" s="8" t="d">
        <x:v>2023-12-01T00:00:00.000Z</x:v>
      </x:c>
      <x:c r="B277" s="2" t="str">
        <x:v>Dec-23</x:v>
      </x:c>
      <x:c r="C277" s="10" t="n">
        <x:v>24128.81</x:v>
      </x:c>
      <x:c r="D277" s="10" t="n">
        <x:v>63051.73</x:v>
      </x:c>
      <x:c r="E277" s="10" t="n">
        <x:v>77153.86</x:v>
      </x:c>
      <x:c r="F277" s="10" t="n">
        <x:v>72696.64</x:v>
      </x:c>
      <x:c r="G277" s="10"/>
      <x:c r="H277" s="2" t="str"/>
    </x:row>
    <x:row r="278" ht="25" customHeight="1">
      <x:c r="A278" s="7" t="d">
        <x:v>2024-01-01T00:00:00.000Z</x:v>
      </x:c>
      <x:c r="B278" s="6" t="str">
        <x:v>Jan-24</x:v>
      </x:c>
      <x:c r="C278" s="9" t="n">
        <x:v>15454.19</x:v>
      </x:c>
      <x:c r="D278" s="9" t="n">
        <x:v>63280.48</x:v>
      </x:c>
      <x:c r="E278" s="9" t="n">
        <x:v>98554.49</x:v>
      </x:c>
      <x:c r="F278" s="9" t="n">
        <x:v>63395.04</x:v>
      </x:c>
      <x:c r="G278" s="9"/>
      <x:c r="H278" s="6" t="str"/>
    </x:row>
    <x:row r="279" ht="25" customHeight="1">
      <x:c r="A279" s="8" t="d">
        <x:v>2024-02-01T00:00:00.000Z</x:v>
      </x:c>
      <x:c r="B279" s="2" t="str">
        <x:v>Feb-24</x:v>
      </x:c>
      <x:c r="C279" s="10" t="n">
        <x:v>36482.4</x:v>
      </x:c>
      <x:c r="D279" s="10" t="n">
        <x:v>25819.81</x:v>
      </x:c>
      <x:c r="E279" s="10" t="n">
        <x:v>54253.2</x:v>
      </x:c>
      <x:c r="F279" s="10" t="n">
        <x:v>89670.8</x:v>
      </x:c>
      <x:c r="G279" s="10"/>
      <x:c r="H279" s="2" t="str"/>
    </x:row>
    <x:row r="280" ht="25" customHeight="1">
      <x:c r="A280" s="7" t="d">
        <x:v>2024-03-01T00:00:00.000Z</x:v>
      </x:c>
      <x:c r="B280" s="6" t="str">
        <x:v>Mar-24</x:v>
      </x:c>
      <x:c r="C280" s="9" t="n">
        <x:v>24803.51</x:v>
      </x:c>
      <x:c r="D280" s="9" t="n">
        <x:v>58433.27</x:v>
      </x:c>
      <x:c r="E280" s="9" t="n">
        <x:v>85060.83</x:v>
      </x:c>
      <x:c r="F280" s="9" t="n">
        <x:v>68037.99</x:v>
      </x:c>
      <x:c r="G280" s="9"/>
      <x:c r="H280" s="6" t="str"/>
    </x:row>
    <x:row r="281" ht="25" customHeight="1">
      <x:c r="A281" s="8" t="d">
        <x:v>2024-04-01T00:00:00.000Z</x:v>
      </x:c>
      <x:c r="B281" s="2" t="str">
        <x:v>Apr-24</x:v>
      </x:c>
      <x:c r="C281" s="10" t="n">
        <x:v>23799.92</x:v>
      </x:c>
      <x:c r="D281" s="10" t="n">
        <x:v>24458.41</x:v>
      </x:c>
      <x:c r="E281" s="10" t="n">
        <x:v>49989.61</x:v>
      </x:c>
      <x:c r="F281" s="10" t="n">
        <x:v>140035.33</x:v>
      </x:c>
      <x:c r="G281" s="10"/>
      <x:c r="H281" s="2" t="str"/>
    </x:row>
    <x:row r="282" ht="25" customHeight="1">
      <x:c r="A282" s="7" t="d">
        <x:v>2024-05-01T00:00:00.000Z</x:v>
      </x:c>
      <x:c r="B282" s="6" t="str">
        <x:v>May-24</x:v>
      </x:c>
      <x:c r="C282" s="9" t="n">
        <x:v>57161.22</x:v>
      </x:c>
      <x:c r="D282" s="9" t="n">
        <x:v>33742.09</x:v>
      </x:c>
      <x:c r="E282" s="9" t="n">
        <x:v>59992.97</x:v>
      </x:c>
      <x:c r="F282" s="9" t="n">
        <x:v>58318.04</x:v>
      </x:c>
      <x:c r="G282" s="9"/>
      <x:c r="H282" s="6" t="str"/>
    </x:row>
    <x:row r="283" ht="25" customHeight="1">
      <x:c r="A283" s="8" t="d">
        <x:v>2024-06-01T00:00:00.000Z</x:v>
      </x:c>
      <x:c r="B283" s="2" t="str">
        <x:v>Jun-24</x:v>
      </x:c>
      <x:c r="C283" s="10" t="n">
        <x:v>39257.42</x:v>
      </x:c>
      <x:c r="D283" s="10" t="n">
        <x:v>52375.79</x:v>
      </x:c>
      <x:c r="E283" s="10" t="n">
        <x:v>83231.21</x:v>
      </x:c>
      <x:c r="F283" s="10" t="n">
        <x:v>71427.96</x:v>
      </x:c>
      <x:c r="G283" s="10"/>
      <x:c r="H283" s="2" t="str"/>
    </x:row>
    <x:row r="284" ht="25" customHeight="1">
      <x:c r="A284" s="7" t="d">
        <x:v>2024-07-01T00:00:00.000Z</x:v>
      </x:c>
      <x:c r="B284" s="6" t="str">
        <x:v>Jul-24</x:v>
      </x:c>
      <x:c r="C284" s="9" t="n">
        <x:v>33337.28</x:v>
      </x:c>
      <x:c r="D284" s="9" t="n">
        <x:v>14959.5</x:v>
      </x:c>
      <x:c r="E284" s="9" t="n">
        <x:v>40799.27</x:v>
      </x:c>
      <x:c r="F284" s="9" t="n">
        <x:v>49364.01</x:v>
      </x:c>
      <x:c r="G284" s="9"/>
      <x:c r="H284" s="6" t="str"/>
    </x:row>
    <x:row r="285" ht="25" customHeight="1">
      <x:c r="A285" s="8" t="d">
        <x:v>2024-08-01T00:00:00.000Z</x:v>
      </x:c>
      <x:c r="B285" s="2" t="str">
        <x:v>Aug-24</x:v>
      </x:c>
      <x:c r="C285" s="10" t="n">
        <x:v>22079</x:v>
      </x:c>
      <x:c r="D285" s="10" t="n">
        <x:v>36033.55</x:v>
      </x:c>
      <x:c r="E285" s="10" t="n">
        <x:v>63245.29</x:v>
      </x:c>
      <x:c r="F285" s="10" t="n">
        <x:v>33382.09</x:v>
      </x:c>
      <x:c r="G285" s="10"/>
      <x:c r="H285" s="2" t="str"/>
    </x:row>
    <x:row r="286" ht="25" customHeight="1">
      <x:c r="A286" s="7" t="d">
        <x:v>2024-09-01T00:00:00.000Z</x:v>
      </x:c>
      <x:c r="B286" s="6" t="str">
        <x:v>Sep-24</x:v>
      </x:c>
      <x:c r="C286" s="9" t="n">
        <x:v>73813.29</x:v>
      </x:c>
      <x:c r="D286" s="9" t="n">
        <x:v>36151.15</x:v>
      </x:c>
      <x:c r="E286" s="9" t="n">
        <x:v>54225.24</x:v>
      </x:c>
      <x:c r="F286" s="9" t="n">
        <x:v>39354.36</x:v>
      </x:c>
      <x:c r="G286" s="9"/>
      <x:c r="H286" s="6" t="str"/>
    </x:row>
    <x:row r="287" ht="25" customHeight="1">
      <x:c r="A287" s="8" t="d">
        <x:v>2024-10-01T00:00:00.000Z</x:v>
      </x:c>
      <x:c r="B287" s="2" t="str">
        <x:v>Oct-24</x:v>
      </x:c>
      <x:c r="C287" s="10" t="n">
        <x:v>31117.84</x:v>
      </x:c>
      <x:c r="D287" s="10" t="n">
        <x:v>24243.24</x:v>
      </x:c>
      <x:c r="E287" s="10" t="n">
        <x:v>53118.11</x:v>
      </x:c>
      <x:c r="F287" s="10" t="n">
        <x:v>52889.54</x:v>
      </x:c>
      <x:c r="G287" s="10"/>
      <x:c r="H287" s="2" t="str"/>
    </x:row>
    <x:row r="288" ht="25" customHeight="1">
      <x:c r="A288" s="7" t="d">
        <x:v>2024-11-01T00:00:00.000Z</x:v>
      </x:c>
      <x:c r="B288" s="6" t="str">
        <x:v>Nov-24</x:v>
      </x:c>
      <x:c r="C288" s="9" t="n">
        <x:v>35991.48</x:v>
      </x:c>
      <x:c r="D288" s="9" t="n">
        <x:v>25281.43</x:v>
      </x:c>
      <x:c r="E288" s="9" t="n">
        <x:v>49023.49</x:v>
      </x:c>
      <x:c r="F288" s="9" t="n">
        <x:v>83795.3</x:v>
      </x:c>
      <x:c r="G288" s="9"/>
      <x:c r="H288" s="6" t="str"/>
    </x:row>
    <x:row r="289" ht="25" customHeight="1">
      <x:c r="A289" s="8" t="d">
        <x:v>2024-12-01T00:00:00.000Z</x:v>
      </x:c>
      <x:c r="B289" s="2" t="str">
        <x:v>Dec-24</x:v>
      </x:c>
      <x:c r="C289" s="10" t="n">
        <x:v>52926.23001</x:v>
      </x:c>
      <x:c r="D289" s="10" t="n">
        <x:v>31918.52245</x:v>
      </x:c>
      <x:c r="E289" s="10" t="n">
        <x:v>55530.96099</x:v>
      </x:c>
      <x:c r="F289" s="10" t="n">
        <x:v>80344.55</x:v>
      </x:c>
      <x:c r="G289" s="10"/>
      <x:c r="H289" s="2" t="str"/>
    </x:row>
    <x:row r="290" ht="25" customHeight="1">
      <x:c r="A290" s="7" t="d">
        <x:v>2025-01-01T00:00:00.000Z</x:v>
      </x:c>
      <x:c r="B290" s="6" t="str">
        <x:v>Jan-25</x:v>
      </x:c>
      <x:c r="C290" s="9" t="n">
        <x:v>15507.6941</x:v>
      </x:c>
      <x:c r="D290" s="11" t="n">
        <x:v>0</x:v>
      </x:c>
      <x:c r="E290" s="9" t="n">
        <x:v>91758.48421</x:v>
      </x:c>
      <x:c r="F290" s="9" t="n">
        <x:v>86784.7625</x:v>
      </x:c>
      <x:c r="G290" s="9"/>
      <x:c r="H290" s="6" t="str"/>
    </x:row>
    <x:row r="291" ht="25" customHeight="1">
      <x:c r="A291" s="8" t="d">
        <x:v>2025-02-01T00:00:00.000Z</x:v>
      </x:c>
      <x:c r="B291" s="2" t="str">
        <x:v>Feb-25</x:v>
      </x:c>
      <x:c r="C291" s="10" t="n">
        <x:v>61474.78014</x:v>
      </x:c>
      <x:c r="D291" s="10" t="n">
        <x:v>37114.53312</x:v>
      </x:c>
      <x:c r="E291" s="10" t="n">
        <x:v>70041.71553</x:v>
      </x:c>
      <x:c r="F291" s="10" t="n">
        <x:v>74799.99338</x:v>
      </x:c>
      <x:c r="G291" s="10"/>
      <x:c r="H291" s="2" t="str"/>
    </x:row>
    <x:row r="292" ht="25" customHeight="1">
      <x:c r="A292" s="7" t="d">
        <x:v>2025-03-01T00:00:00.000Z</x:v>
      </x:c>
      <x:c r="B292" s="6" t="str">
        <x:v>Mar-25</x:v>
      </x:c>
      <x:c r="C292" s="9" t="n">
        <x:v>46656.95442</x:v>
      </x:c>
      <x:c r="D292" s="11" t="n">
        <x:v>0</x:v>
      </x:c>
      <x:c r="E292" s="9" t="n">
        <x:v>55547.24303</x:v>
      </x:c>
      <x:c r="F292" s="9" t="n">
        <x:v>72734.3823</x:v>
      </x:c>
      <x:c r="G292" s="9"/>
      <x:c r="H292" s="6" t="str"/>
    </x:row>
    <x:row r="293" ht="25" customHeight="1">
      <x:c r="A293" s="8" t="d">
        <x:v>2025-04-01T00:00:00.000Z</x:v>
      </x:c>
      <x:c r="B293" s="2" t="str">
        <x:v>Apr-25</x:v>
      </x:c>
      <x:c r="C293" s="10" t="n">
        <x:v>22042.30674</x:v>
      </x:c>
      <x:c r="D293" s="10" t="n">
        <x:v>50837.96696</x:v>
      </x:c>
      <x:c r="E293" s="10" t="n">
        <x:v>60176.02035</x:v>
      </x:c>
      <x:c r="F293" s="10" t="n">
        <x:v>91489.499</x:v>
      </x:c>
      <x:c r="G293" s="10"/>
      <x:c r="H293" s="2" t="str"/>
    </x:row>
    <x:row r="294" ht="25" customHeight="1">
      <x:c r="A294" s="7" t="d">
        <x:v>2025-05-01T00:00:00.000Z</x:v>
      </x:c>
      <x:c r="B294" s="6" t="str">
        <x:v>May-25</x:v>
      </x:c>
      <x:c r="C294" s="9" t="n">
        <x:v>38894.32483</x:v>
      </x:c>
      <x:c r="D294" s="9" t="n">
        <x:v>28048.53551</x:v>
      </x:c>
      <x:c r="E294" s="9" t="n">
        <x:v>36577.6546</x:v>
      </x:c>
      <x:c r="F294" s="9" t="n">
        <x:v>88360.026</x:v>
      </x:c>
      <x:c r="G294" s="9"/>
      <x:c r="H294" s="6" t="str"/>
    </x:row>
    <x:row r="295" ht="25" customHeight="1">
      <x:c r="A295" s="8" t="d">
        <x:v>2025-06-01T00:00:00.000Z</x:v>
      </x:c>
      <x:c r="B295" s="2" t="str">
        <x:v>Jun-25</x:v>
      </x:c>
      <x:c r="C295" s="10" t="n">
        <x:v>32953.09998</x:v>
      </x:c>
      <x:c r="D295" s="10" t="n">
        <x:v>33624.47852</x:v>
      </x:c>
      <x:c r="E295" s="10" t="n">
        <x:v>40630.81717</x:v>
      </x:c>
      <x:c r="F295" s="10" t="n">
        <x:v>65805.352</x:v>
      </x:c>
      <x:c r="G295" s="10"/>
      <x:c r="H295" s="2" t="str"/>
    </x:row>
    <x:row r="296" ht="25" customHeight="1">
      <x:c r="A296" s="7" t="d">
        <x:v>2025-07-01T00:00:00.000Z</x:v>
      </x:c>
      <x:c r="B296" s="6" t="str">
        <x:v>Jul-25</x:v>
      </x:c>
      <x:c r="C296" s="9" t="n">
        <x:v>29123.33062</x:v>
      </x:c>
      <x:c r="D296" s="11" t="n">
        <x:v>0</x:v>
      </x:c>
      <x:c r="E296" s="9" t="n">
        <x:v>52069.1353</x:v>
      </x:c>
      <x:c r="F296" s="9" t="n">
        <x:v>59017.238</x:v>
      </x:c>
      <x:c r="G296" s="9"/>
      <x:c r="H296" s="6" t="str"/>
    </x:row>
    <x:row r="297" ht="25" customHeight="1">
      <x:c r="A297" s="8" t="d">
        <x:v>2025-08-01T00:00:00.000Z</x:v>
      </x:c>
      <x:c r="B297" s="2" t="str">
        <x:v>Aug-25</x:v>
      </x:c>
      <x:c r="C297" s="10" t="n">
        <x:v>22170.33817</x:v>
      </x:c>
      <x:c r="D297" s="11" t="n">
        <x:v>0</x:v>
      </x:c>
      <x:c r="E297" s="10" t="n">
        <x:v>36384.6176</x:v>
      </x:c>
      <x:c r="F297" s="10" t="n">
        <x:v>43971.22291</x:v>
      </x:c>
      <x:c r="G297" s="10"/>
      <x:c r="H297" s="2" t="str"/>
    </x:row>
    <x:row r="298" ht="25" customHeight="1">
      <x:c r="A298" s="7" t="d">
        <x:v>2025-09-01T00:00:00.000Z</x:v>
      </x:c>
      <x:c r="B298" s="6" t="str">
        <x:v>Sep-25</x:v>
      </x:c>
      <x:c r="C298" s="9" t="n">
        <x:v>36548.54323</x:v>
      </x:c>
      <x:c r="D298" s="11" t="n">
        <x:v>0</x:v>
      </x:c>
      <x:c r="E298" s="9" t="n">
        <x:v>46734.95825</x:v>
      </x:c>
      <x:c r="F298" s="9" t="n">
        <x:v>70859.36452</x:v>
      </x:c>
      <x:c r="G298" s="9"/>
      <x:c r="H298" s="6" t="str"/>
    </x:row>
    <x:row r="299" ht="25" customHeight="1">
      <x:c r="A299" s="8" t="d">
        <x:v>2025-10-01T00:00:00.000Z</x:v>
      </x:c>
      <x:c r="B299" s="2" t="str">
        <x:v>Oct-25</x:v>
      </x:c>
      <x:c r="C299" s="10" t="n">
        <x:v>11417.33811</x:v>
      </x:c>
      <x:c r="D299" s="11" t="n">
        <x:v>0</x:v>
      </x:c>
      <x:c r="E299" s="10" t="n">
        <x:v>30085.99973</x:v>
      </x:c>
      <x:c r="F299" s="10" t="n">
        <x:v>62885.56103</x:v>
      </x:c>
      <x:c r="G299" s="10"/>
      <x:c r="H299" s="2" t="str"/>
    </x:row>
    <x:row r="300" ht="25" customHeight="1">
      <x:c r="A300" s="7" t="d">
        <x:v>2025-11-01T00:00:00.000Z</x:v>
      </x:c>
      <x:c r="B300" s="6" t="str">
        <x:v>Nov-25</x:v>
      </x:c>
      <x:c r="C300" s="9" t="n">
        <x:v>34838.6307</x:v>
      </x:c>
      <x:c r="D300" s="11" t="n">
        <x:v>0</x:v>
      </x:c>
      <x:c r="E300" s="9" t="n">
        <x:v>48599.34074</x:v>
      </x:c>
      <x:c r="F300" s="9" t="n">
        <x:v>104529.0157</x:v>
      </x:c>
      <x:c r="G300" s="9"/>
      <x:c r="H300" s="6" t="str"/>
    </x:row>
    <x:row r="301" ht="25" customHeight="1">
      <x:c r="A301" s="8" t="d">
        <x:v>2025-12-01T00:00:00.000Z</x:v>
      </x:c>
      <x:c r="B301" s="2" t="str">
        <x:v>Dec-25</x:v>
      </x:c>
      <x:c r="C301" s="10" t="n">
        <x:v>44430.60549</x:v>
      </x:c>
      <x:c r="D301" s="11" t="n">
        <x:v>0</x:v>
      </x:c>
      <x:c r="E301" s="10" t="n">
        <x:v>39268.76316</x:v>
      </x:c>
      <x:c r="F301" s="10" t="n">
        <x:v>93990.79862</x:v>
      </x:c>
      <x:c r="G301" s="10"/>
      <x:c r="H301" s="2" t="str"/>
    </x:row>
    <x:row r="302" ht="25" customHeight="1">
      <x:c r="A302" s="7" t="d">
        <x:v>2026-01-01T00:00:00.000Z</x:v>
      </x:c>
      <x:c r="B302" s="6" t="str">
        <x:v>Jan-26</x:v>
      </x:c>
      <x:c r="C302" s="9" t="n">
        <x:v>31213.59527</x:v>
      </x:c>
      <x:c r="D302" s="11" t="n">
        <x:v>0</x:v>
      </x:c>
      <x:c r="E302" s="9" t="n">
        <x:v>33525.13637</x:v>
      </x:c>
      <x:c r="F302" s="9" t="n">
        <x:v>101894.7334</x:v>
      </x:c>
      <x:c r="G302" s="9"/>
      <x:c r="H302" s="6" t="str"/>
    </x:row>
    <x:row r="303" ht="25" customHeight="1">
      <x:c r="A303" s="8" t="d">
        <x:v>2026-02-01T00:00:00.000Z</x:v>
      </x:c>
      <x:c r="B303" s="2" t="str">
        <x:v>Feb-26</x:v>
      </x:c>
      <x:c r="C303" s="10" t="n">
        <x:v>17787.45203</x:v>
      </x:c>
      <x:c r="D303" s="11" t="n">
        <x:v>0</x:v>
      </x:c>
      <x:c r="E303" s="10" t="n">
        <x:v>37825.57182</x:v>
      </x:c>
      <x:c r="F303" s="10" t="n">
        <x:v>97558.93527</x:v>
      </x:c>
      <x:c r="G303" s="10"/>
      <x:c r="H303" s="2" t="str"/>
    </x:row>
    <x:row r="304" ht="25" customHeight="1">
      <x:c r="A304" s="7" t="d">
        <x:v>2026-03-01T00:00:00.000Z</x:v>
      </x:c>
      <x:c r="B304" s="6" t="str">
        <x:v>Mar-26</x:v>
      </x:c>
      <x:c r="C304" s="9" t="n">
        <x:v>42486.95233</x:v>
      </x:c>
      <x:c r="D304" s="11" t="n">
        <x:v>0</x:v>
      </x:c>
      <x:c r="E304" s="9" t="n">
        <x:v>44514.38531</x:v>
      </x:c>
      <x:c r="F304" s="9" t="n">
        <x:v>91861.63024</x:v>
      </x:c>
      <x:c r="G304" s="9"/>
      <x:c r="H304" s="6" t="str"/>
    </x:row>
    <x:row r="305" ht="25" customHeight="1">
      <x:c r="A305" s="8" t="d">
        <x:v>2026-04-01T00:00:00.000Z</x:v>
      </x:c>
      <x:c r="B305" s="2" t="str">
        <x:v>Apr-26</x:v>
      </x:c>
      <x:c r="C305" s="10" t="n">
        <x:v>17892.08128</x:v>
      </x:c>
      <x:c r="D305" s="11" t="n">
        <x:v>0</x:v>
      </x:c>
      <x:c r="E305" s="10" t="n">
        <x:v>67156.72833</x:v>
      </x:c>
      <x:c r="F305" s="10" t="n">
        <x:v>84222.26568</x:v>
      </x:c>
      <x:c r="G305" s="10"/>
      <x:c r="H305" s="2" t="str"/>
    </x:row>
    <x:row r="306" ht="25" customHeight="1">
      <x:c r="A306" s="7" t="d">
        <x:v>2026-05-01T00:00:00.000Z</x:v>
      </x:c>
      <x:c r="B306" s="6" t="str">
        <x:v>May-26</x:v>
      </x:c>
      <x:c r="C306" s="9" t="n">
        <x:v>37968.34768</x:v>
      </x:c>
      <x:c r="D306" s="11" t="n">
        <x:v>0</x:v>
      </x:c>
      <x:c r="E306" s="9" t="n">
        <x:v>64749.72283</x:v>
      </x:c>
      <x:c r="F306" s="9" t="n">
        <x:v>102082.1737</x:v>
      </x:c>
      <x:c r="G306" s="9"/>
      <x:c r="H306" s="6" t="str"/>
    </x:row>
    <x:row r="307" ht="25" customHeight="1">
      <x:c r="A307" s="8" t="d">
        <x:v>2026-06-01T00:00:00.000Z</x:v>
      </x:c>
      <x:c r="B307" s="2" t="str">
        <x:v>Jun-26</x:v>
      </x:c>
      <x:c r="C307" s="10" t="n">
        <x:v>17818.60595</x:v>
      </x:c>
      <x:c r="D307" s="11" t="n">
        <x:v>0</x:v>
      </x:c>
      <x:c r="E307" s="10" t="n">
        <x:v>85492.59991</x:v>
      </x:c>
      <x:c r="F307" s="10" t="n">
        <x:v>106948.9898</x:v>
      </x:c>
      <x:c r="G307" s="10"/>
      <x:c r="H307" s="2" t="str"/>
    </x:row>
  </x:sheetData>
  <x:pageMargins left="0.7" right="0.7" top="0.75" bottom="0.75" header="0.3" footer="0.3"/>
  <x:tableParts count="1">
    <x:tablePart xmlns:r="http://schemas.openxmlformats.org/officeDocument/2006/relationships" r:id="Rf052a523e08c4463"/>
  </x:tableParts>
</x:worksheet>
</file>

<file path=xl/worksheets/sheet6.xml><?xml version="1.0" encoding="utf-8"?>
<x:worksheet xmlns:x="http://schemas.openxmlformats.org/spreadsheetml/2006/main">
  <x:sheetPr>
    <x:tabColor rgb="FF006D7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34" hidden="0" customWidth="1"/>
    <x:col min="4" max="4" width="59" hidden="0" customWidth="1"/>
    <x:col min="5" max="5" width="23" hidden="0" customWidth="1"/>
    <x:col min="6" max="6" width="98" hidden="0" customWidth="1"/>
    <x:col min="7" max="7" width="70" hidden="0" customWidth="1"/>
    <x:col min="8" max="8" width="15" hidden="0" customWidth="1"/>
  </x:cols>
  <x:sheetData>
    <x:row r="1" ht="46" customHeight="1">
      <x:c r="A1" s="5" t="str">
        <x:v>来源ID</x:v>
      </x:c>
      <x:c r="B1" s="5" t="str">
        <x:v>数据项目</x:v>
      </x:c>
      <x:c r="C1" s="5" t="str">
        <x:v>发布机构／原提供方</x:v>
      </x:c>
      <x:c r="D1" s="5" t="str">
        <x:v>系列代码／文件定位</x:v>
      </x:c>
      <x:c r="E1" s="5" t="str">
        <x:v>原始单位及频率</x:v>
      </x:c>
      <x:c r="F1" s="5" t="str">
        <x:v>直接来源链接</x:v>
      </x:c>
      <x:c r="G1" s="5" t="str">
        <x:v>取值位置或范围</x:v>
      </x:c>
      <x:c r="H1" s="5" t="str">
        <x:v>获取日期</x:v>
      </x:c>
    </x:row>
    <x:row r="2" ht="64" customHeight="1">
      <x:c r="A2" s="15" t="str">
        <x:v>S01</x:v>
      </x:c>
      <x:c r="B2" s="15" t="str">
        <x:v>食品整体进口额</x:v>
      </x:c>
      <x:c r="C2" s="15" t="str">
        <x:v>Bank of Sierra Leone</x:v>
      </x:c>
      <x:c r="D2" s="15" t="str">
        <x:v>BSL_MTD_1.32 / a. Food</x:v>
      </x:c>
      <x:c r="E2" s="15" t="str">
        <x:v>千美元；月度</x:v>
      </x:c>
      <x:c r="F2" s="19" t="str">
        <x:v>https://app.datawarehousepro.com/guest/getMnemonicData/sierraleone/MTD/BSL_MTD_1.32</x:v>
      </x:c>
      <x:c r="G2" s="15" t="str">
        <x:v>2001-01至2026-06；306个月</x:v>
      </x:c>
      <x:c r="H2" s="13" t="d">
        <x:v>2026-10-13T00:00:00.000Z</x:v>
      </x:c>
    </x:row>
    <x:row r="3" ht="64" customHeight="1">
      <x:c r="A3" s="16" t="str">
        <x:v>S02</x:v>
      </x:c>
      <x:c r="B3" s="16" t="str">
        <x:v>燃油进口额</x:v>
      </x:c>
      <x:c r="C3" s="16" t="str">
        <x:v>Bank of Sierra Leone</x:v>
      </x:c>
      <x:c r="D3" s="16" t="str">
        <x:v>BSL_MTD_1.37 / O/W Fuel</x:v>
      </x:c>
      <x:c r="E3" s="16" t="str">
        <x:v>千美元；月度</x:v>
      </x:c>
      <x:c r="F3" s="20" t="str">
        <x:v>https://app.datawarehousepro.com/guest/getMnemonicData/sierraleone/MTD/BSL_MTD_1.37</x:v>
      </x:c>
      <x:c r="G3" s="16" t="str">
        <x:v>2001-01至2026-06；14个原报零值另作标记</x:v>
      </x:c>
      <x:c r="H3" s="14" t="d">
        <x:v>2026-10-13T00:00:00.000Z</x:v>
      </x:c>
    </x:row>
    <x:row r="4" ht="64" customHeight="1">
      <x:c r="A4" s="15" t="str">
        <x:v>S03</x:v>
      </x:c>
      <x:c r="B4" s="15" t="str">
        <x:v>矿物燃料及润滑油进口额</x:v>
      </x:c>
      <x:c r="C4" s="15" t="str">
        <x:v>Bank of Sierra Leone</x:v>
      </x:c>
      <x:c r="D4" s="15" t="str">
        <x:v>BSL_MTD_1.36 / Mineral Fuel &amp; Lubricants</x:v>
      </x:c>
      <x:c r="E4" s="15" t="str">
        <x:v>千美元；月度</x:v>
      </x:c>
      <x:c r="F4" s="19" t="str">
        <x:v>https://app.datawarehousepro.com/guest/getMnemonicData/sierraleone/MTD/BSL_MTD_1.36</x:v>
      </x:c>
      <x:c r="G4" s="15" t="str">
        <x:v>2001-01至2026-06；306个月</x:v>
      </x:c>
      <x:c r="H4" s="13" t="d">
        <x:v>2026-10-13T00:00:00.000Z</x:v>
      </x:c>
    </x:row>
    <x:row r="5" ht="64" customHeight="1">
      <x:c r="A5" s="16" t="str">
        <x:v>S04</x:v>
      </x:c>
      <x:c r="B5" s="16" t="str">
        <x:v>铁矿石出口额（补充）</x:v>
      </x:c>
      <x:c r="C5" s="16" t="str">
        <x:v>Bank of Sierra Leone</x:v>
      </x:c>
      <x:c r="D5" s="16" t="str">
        <x:v>BSL_MTD_1.20 / Iron Ore / VALUE OF EXPORT</x:v>
      </x:c>
      <x:c r="E5" s="16" t="str">
        <x:v>千美元；月度</x:v>
      </x:c>
      <x:c r="F5" s="20" t="str">
        <x:v>https://app.datawarehousepro.com/guest/getMnemonicData/sierraleone/MTD/BSL_MTD_1.20</x:v>
      </x:c>
      <x:c r="G5" s="16" t="str">
        <x:v>2011-11至2026-06；135条，有缺月</x:v>
      </x:c>
      <x:c r="H5" s="14" t="d">
        <x:v>2026-10-13T00:00:00.000Z</x:v>
      </x:c>
    </x:row>
    <x:row r="6" ht="64" customHeight="1">
      <x:c r="A6" s="15" t="str">
        <x:v>S05</x:v>
      </x:c>
      <x:c r="B6" s="15" t="str">
        <x:v>铁矿石月度出口量</x:v>
      </x:c>
      <x:c r="C6" s="15" t="str">
        <x:v>Bank of Sierra Leone</x:v>
      </x:c>
      <x:c r="D6" s="15" t="str">
        <x:v>TRADE  2018.xls；Volume of Exports 2017 &amp; 2018</x:v>
      </x:c>
      <x:c r="E6" s="15" t="str">
        <x:v>M. Tons；月度</x:v>
      </x:c>
      <x:c r="F6" s="19" t="str">
        <x:v>https://bsl.gov.sl/TRADE%20%202018.xls</x:v>
      </x:c>
      <x:c r="G6" s="15" t="str">
        <x:v>J列；2017全年及2018年1—9月；2018年10—12月空白</x:v>
      </x:c>
      <x:c r="H6" s="13" t="d">
        <x:v>2026-10-13T00:00:00.000Z</x:v>
      </x:c>
    </x:row>
    <x:row r="7" ht="64" customHeight="1">
      <x:c r="A7" s="16" t="str">
        <x:v>S06</x:v>
      </x:c>
      <x:c r="B7" s="16" t="str">
        <x:v>2016年铁矿石出口量</x:v>
      </x:c>
      <x:c r="C7" s="16" t="str">
        <x:v>SLEITI / EITI；原提供方NMA</x:v>
      </x:c>
      <x:c r="D7" s="16" t="str">
        <x:v>2016 EITI Report，表4.1</x:v>
      </x:c>
      <x:c r="E7" s="16" t="str">
        <x:v>DMT；年度</x:v>
      </x:c>
      <x:c r="F7" s="20" t="str">
        <x:v>https://eiti.org/sites/default/files/attachments/2016_sleiti_final_report_2.pdf</x:v>
      </x:c>
      <x:c r="G7" s="16" t="str">
        <x:v>PDF第52页／报告第36页</x:v>
      </x:c>
      <x:c r="H7" s="14" t="d">
        <x:v>2026-10-13T00:00:00.000Z</x:v>
      </x:c>
    </x:row>
    <x:row r="8" ht="64" customHeight="1">
      <x:c r="A8" s="15" t="str">
        <x:v>S07</x:v>
      </x:c>
      <x:c r="B8" s="15" t="str">
        <x:v>2017—2018年铁矿石出口量</x:v>
      </x:c>
      <x:c r="C8" s="15" t="str">
        <x:v>SLEITI；原提供方NMA</x:v>
      </x:c>
      <x:c r="D8" s="15" t="str">
        <x:v>2017–2018 EITI Report，3.9 Mineral Export</x:v>
      </x:c>
      <x:c r="E8" s="15" t="str">
        <x:v>WMT；年度</x:v>
      </x:c>
      <x:c r="F8" s="19" t="str">
        <x:v>https://sleiti.gov.sl/wp-content/uploads/2025/02/FINAL-SLEITI-REPORT-FOR-2017-AND-2018.pdf</x:v>
      </x:c>
      <x:c r="G8" s="15" t="str">
        <x:v>PDF及报告第65页；仅取数量列</x:v>
      </x:c>
      <x:c r="H8" s="13" t="d">
        <x:v>2026-10-13T00:00:00.000Z</x:v>
      </x:c>
    </x:row>
    <x:row r="9" ht="64" customHeight="1">
      <x:c r="A9" s="16" t="str">
        <x:v>S08</x:v>
      </x:c>
      <x:c r="B9" s="16" t="str">
        <x:v>2019年铁矿石出口量（覆盖受限）</x:v>
      </x:c>
      <x:c r="C9" s="16" t="str">
        <x:v>SLEITI / EITI</x:v>
      </x:c>
      <x:c r="D9" s="16" t="str">
        <x:v>2019 EITI Report，表13 SL Mining Limited</x:v>
      </x:c>
      <x:c r="E9" s="16" t="str">
        <x:v>DMT；年度</x:v>
      </x:c>
      <x:c r="F9" s="20" t="str">
        <x:v>https://eiti.org/sites/default/files/2022-04/SLEITI%202019%20Report%20%281%29.pdf</x:v>
      </x:c>
      <x:c r="G9" s="16" t="str">
        <x:v>第85页；披露企业范围限制见说明</x:v>
      </x:c>
      <x:c r="H9" s="14" t="d">
        <x:v>2026-10-13T00:00:00.000Z</x:v>
      </x:c>
    </x:row>
    <x:row r="10" ht="64" customHeight="1">
      <x:c r="A10" s="15" t="str">
        <x:v>S09</x:v>
      </x:c>
      <x:c r="B10" s="15" t="str">
        <x:v>2020—2021年铁矿石出口量</x:v>
      </x:c>
      <x:c r="C10" s="15" t="str">
        <x:v>SLEITI / EITI；原提供方NMA</x:v>
      </x:c>
      <x:c r="D10" s="15" t="str">
        <x:v>2020–2021 EITI Report，表33及34</x:v>
      </x:c>
      <x:c r="E10" s="15" t="str">
        <x:v>DMT；年度</x:v>
      </x:c>
      <x:c r="F10" s="19" t="str">
        <x:v>https://eiti.org/sites/default/files/2023-04/SLEITI%202020-2021%20Report_0.pdf</x:v>
      </x:c>
      <x:c r="G10" s="15" t="str">
        <x:v>第61—62页 Export列；2021年跨表差异见年度量备注</x:v>
      </x:c>
      <x:c r="H10" s="13" t="d">
        <x:v>2026-10-13T00:00:00.000Z</x:v>
      </x:c>
    </x:row>
    <x:row r="11" ht="64" customHeight="1">
      <x:c r="A11" s="16" t="str">
        <x:v>S10</x:v>
      </x:c>
      <x:c r="B11" s="16" t="str">
        <x:v>2022—2023年铁矿石出口量</x:v>
      </x:c>
      <x:c r="C11" s="16" t="str">
        <x:v>SLEITI / EITI；原提供方NMA</x:v>
      </x:c>
      <x:c r="D11" s="16" t="str">
        <x:v>2022–2023 EITI Report，表47</x:v>
      </x:c>
      <x:c r="E11" s="16" t="str">
        <x:v>DMT；年度</x:v>
      </x:c>
      <x:c r="F11" s="20" t="str">
        <x:v>https://eiti.org/sites/default/files/Sierra%20Leone%20Final%20EITI%20Report%202022-23.pdf</x:v>
      </x:c>
      <x:c r="G11" s="16" t="str">
        <x:v>第73页；只取出口量，未使用产量</x:v>
      </x:c>
      <x:c r="H11" s="14" t="d">
        <x:v>2026-10-13T00:00:00.000Z</x:v>
      </x:c>
    </x:row>
    <x:row r="12" ht="64" customHeight="1">
      <x:c r="A12" s="15" t="str">
        <x:v>P01</x:v>
      </x:c>
      <x:c r="B12" s="15" t="str">
        <x:v>央行官方统计入口</x:v>
      </x:c>
      <x:c r="C12" s="15" t="str">
        <x:v>Bank of Sierra Leone</x:v>
      </x:c>
      <x:c r="D12" s="15" t="str">
        <x:v>Statistics / Statistics Data Warehouse</x:v>
      </x:c>
      <x:c r="E12" s="15" t="str">
        <x:v>官方网站</x:v>
      </x:c>
      <x:c r="F12" s="19" t="str">
        <x:v>https://bsl.gov.sl/Statistics.html</x:v>
      </x:c>
      <x:c r="G12" s="15" t="str">
        <x:v>官方页面链接至本工作簿使用的数据仓库</x:v>
      </x:c>
      <x:c r="H12" s="13" t="d">
        <x:v>2026-10-13T00:00:00.000Z</x:v>
      </x:c>
    </x:row>
    <x:row r="13" ht="64" customHeight="1">
      <x:c r="A13" s="16" t="str">
        <x:v>P02</x:v>
      </x:c>
      <x:c r="B13" s="16" t="str">
        <x:v>央行数据仓库操作页面</x:v>
      </x:c>
      <x:c r="C13" s="16" t="str">
        <x:v>Bank of Sierra Leone</x:v>
      </x:c>
      <x:c r="D13" s="16" t="str">
        <x:v>MERCHANDISE TRADE</x:v>
      </x:c>
      <x:c r="E13" s="16" t="str">
        <x:v>官方网站</x:v>
      </x:c>
      <x:c r="F13" s="20" t="str">
        <x:v>https://app.datawarehousepro.com/go/sierraleone</x:v>
      </x:c>
      <x:c r="G13" s="16" t="str">
        <x:v>查看或更新S01—S04时选择对应代码</x:v>
      </x:c>
      <x:c r="H13" s="14" t="d">
        <x:v>2026-10-13T00:00:00.000Z</x:v>
      </x:c>
    </x:row>
    <x:row r="14" ht="64" customHeight="1">
      <x:c r="A14" s="15" t="str">
        <x:v>P03</x:v>
      </x:c>
      <x:c r="B14" s="15" t="str">
        <x:v>央行历史数据入口</x:v>
      </x:c>
      <x:c r="C14" s="15" t="str">
        <x:v>Bank of Sierra Leone</x:v>
      </x:c>
      <x:c r="D14" s="15" t="str">
        <x:v>Statistics Archives</x:v>
      </x:c>
      <x:c r="E14" s="15" t="str">
        <x:v>官方网站</x:v>
      </x:c>
      <x:c r="F14" s="19" t="str">
        <x:v>https://bsl.gov.sl/Statistics_Archive.html</x:v>
      </x:c>
      <x:c r="G14" s="15" t="str">
        <x:v>Trade链接提供S05原始Excel</x:v>
      </x:c>
      <x:c r="H14" s="13" t="d">
        <x:v>2026-10-13T00:00:00.000Z</x:v>
      </x:c>
    </x:row>
    <x:row r="15" ht="64" customHeight="1">
      <x:c r="A15" s="16" t="str">
        <x:v>P04</x:v>
      </x:c>
      <x:c r="B15" s="16" t="str">
        <x:v>2019年披露范围核查</x:v>
      </x:c>
      <x:c r="C15" s="16" t="str">
        <x:v>EITI</x:v>
      </x:c>
      <x:c r="D15" s="16" t="str">
        <x:v>Sierra Leone country page / Requirement 3.3</x:v>
      </x:c>
      <x:c r="E15" s="16" t="str">
        <x:v>国际组织评估</x:v>
      </x:c>
      <x:c r="F15" s="20" t="str">
        <x:v>https://eiti.org/countries/sierra-leone</x:v>
      </x:c>
      <x:c r="G15" s="16" t="str">
        <x:v>2019报告出口披露覆盖不足，已在年度表警示</x:v>
      </x:c>
      <x:c r="H15" s="14" t="d">
        <x:v>2026-10-13T00:00:00.000Z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13093f001acc4c52"/>
  </x:tableParts>
</x:worksheet>
</file>